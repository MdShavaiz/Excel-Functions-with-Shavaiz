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zexcel projects\"/>
    </mc:Choice>
  </mc:AlternateContent>
  <xr:revisionPtr revIDLastSave="0" documentId="13_ncr:1_{1D7D8AB8-1613-40FA-A8AE-5D71C43077D7}" xr6:coauthVersionLast="36" xr6:coauthVersionMax="36" xr10:uidLastSave="{00000000-0000-0000-0000-000000000000}"/>
  <bookViews>
    <workbookView xWindow="0" yWindow="0" windowWidth="20295" windowHeight="6870" tabRatio="967" activeTab="1" xr2:uid="{00000000-000D-0000-FFFF-FFFF00000000}"/>
  </bookViews>
  <sheets>
    <sheet name="67 -COUNTA &amp; COUNT BLANK " sheetId="11" r:id="rId1"/>
    <sheet name="68 -COUNTIF" sheetId="8" r:id="rId2"/>
    <sheet name="69 - COUNTIFS" sheetId="9" r:id="rId3"/>
    <sheet name="70 - SUMIF" sheetId="6" r:id="rId4"/>
    <sheet name="70 - SUMIFS" sheetId="7" r:id="rId5"/>
    <sheet name="71 -AVERAGEIF AND AVERAGE IFS" sheetId="12" r:id="rId6"/>
    <sheet name="72 -FREQUENCY" sheetId="1" r:id="rId7"/>
    <sheet name="73 - INDEX &amp; MATCH" sheetId="2" r:id="rId8"/>
    <sheet name="74 -LOOKUP" sheetId="3" r:id="rId9"/>
    <sheet name="75 - SUMPRODUCT" sheetId="14" r:id="rId10"/>
    <sheet name="75 - LEFT AND FIND" sheetId="19" r:id="rId11"/>
    <sheet name="76 -RIGHT AND FIND" sheetId="23" r:id="rId12"/>
    <sheet name="77 - MID AND FIND" sheetId="24" r:id="rId13"/>
    <sheet name="78 -REPEAT" sheetId="22" r:id="rId14"/>
    <sheet name="78 - SUBSTITUTE" sheetId="21" r:id="rId15"/>
    <sheet name="79 -PMT,PV,FV" sheetId="20" r:id="rId16"/>
    <sheet name="80-IPMT,PPMT" sheetId="25" r:id="rId17"/>
    <sheet name="81 - VlookupMatch" sheetId="27" r:id="rId18"/>
    <sheet name="81- BackupData" sheetId="28" r:id="rId19"/>
    <sheet name="82 - Upper, Lower, Proper, Trim" sheetId="29" r:id="rId20"/>
    <sheet name="83 - Date in Quarter" sheetId="30" r:id="rId21"/>
    <sheet name="84 - Datedif and Edate" sheetId="31" r:id="rId22"/>
    <sheet name="85 - DATE TO TEXT AND VV" sheetId="32" r:id="rId23"/>
    <sheet name="86 - Switch Date" sheetId="33" r:id="rId24"/>
    <sheet name="87- Date and Text Join" sheetId="34" r:id="rId25"/>
    <sheet name="87 - DATE FORMULAS" sheetId="35" r:id="rId26"/>
    <sheet name="88 - Ranking Formula" sheetId="38" r:id="rId27"/>
    <sheet name="89 - Excel Real Job Query" sheetId="40" r:id="rId28"/>
    <sheet name="90 - Create Multiple Sheets" sheetId="42" r:id="rId29"/>
  </sheets>
  <functionGroups builtInGroupCount="19"/>
  <definedNames>
    <definedName name="LIST1">#REF!</definedName>
    <definedName name="Month_no">'81 - VlookupMatch'!$F$1:$G$12</definedName>
    <definedName name="Pic">INDEX(#REF!,MATCH(#REF!,#REF!,0))</definedName>
    <definedName name="picnew">INDEX(#REF!,MATCH(#REF!,#REF!,0))</definedName>
    <definedName name="Picture">INDEX(#REF!,MATCH(#REF!,#REF!,0))</definedName>
    <definedName name="PictureLookup">INDEX(#REF!,MATCH(#REF!,#REF!,0))</definedName>
    <definedName name="sales_data">'81- BackupData'!$A:$M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2" i="1"/>
  <c r="E2" i="1" a="1"/>
  <c r="E2" i="1" s="1"/>
  <c r="G2" i="1"/>
  <c r="H4" i="12"/>
  <c r="H3" i="12"/>
  <c r="H2" i="12"/>
  <c r="G4" i="12"/>
  <c r="G3" i="12"/>
  <c r="G2" i="12"/>
  <c r="G7" i="12"/>
  <c r="G8" i="12"/>
  <c r="G6" i="12"/>
  <c r="H2" i="7"/>
  <c r="H3" i="7"/>
  <c r="H4" i="7"/>
  <c r="G3" i="7"/>
  <c r="G4" i="7"/>
  <c r="G2" i="7"/>
  <c r="G2" i="8"/>
  <c r="E7" i="6"/>
  <c r="F2" i="6"/>
  <c r="F3" i="6"/>
  <c r="F1" i="6"/>
  <c r="G7" i="9"/>
  <c r="H2" i="9"/>
  <c r="H3" i="9"/>
  <c r="H4" i="9"/>
  <c r="G3" i="9"/>
  <c r="G4" i="9"/>
  <c r="G2" i="9"/>
  <c r="H10" i="8"/>
  <c r="H9" i="8"/>
  <c r="H7" i="8"/>
  <c r="H6" i="8"/>
  <c r="H4" i="8"/>
  <c r="H3" i="8"/>
  <c r="H2" i="8"/>
  <c r="G10" i="8"/>
  <c r="G9" i="8"/>
  <c r="G7" i="8"/>
  <c r="G6" i="8"/>
  <c r="G3" i="8"/>
  <c r="G4" i="8"/>
  <c r="E10" i="1" l="1"/>
  <c r="E7" i="1"/>
  <c r="E5" i="1"/>
  <c r="E9" i="1"/>
  <c r="E4" i="1"/>
  <c r="E8" i="1"/>
  <c r="E3" i="1"/>
  <c r="E6" i="1"/>
  <c r="D2" i="40" l="1"/>
  <c r="D3" i="40"/>
  <c r="I2" i="40" s="1"/>
  <c r="D4" i="40"/>
  <c r="D5" i="40"/>
  <c r="D6" i="40"/>
  <c r="D7" i="40"/>
  <c r="D3" i="38"/>
  <c r="D4" i="38"/>
  <c r="D5" i="38"/>
  <c r="D6" i="38"/>
  <c r="D2" i="38"/>
  <c r="C3" i="38"/>
  <c r="C4" i="38"/>
  <c r="C5" i="38"/>
  <c r="C6" i="38"/>
  <c r="C2" i="38"/>
  <c r="F2" i="35"/>
  <c r="E3" i="35"/>
  <c r="E4" i="35"/>
  <c r="E5" i="35"/>
  <c r="E6" i="35"/>
  <c r="E7" i="35"/>
  <c r="E8" i="35"/>
  <c r="E9" i="35"/>
  <c r="E10" i="35"/>
  <c r="E11" i="35"/>
  <c r="E2" i="35"/>
  <c r="D4" i="35"/>
  <c r="D3" i="35"/>
  <c r="D5" i="35"/>
  <c r="D6" i="35"/>
  <c r="D7" i="35"/>
  <c r="D8" i="35"/>
  <c r="D9" i="35"/>
  <c r="D10" i="35"/>
  <c r="D11" i="35"/>
  <c r="D2" i="35"/>
  <c r="C3" i="34"/>
  <c r="C4" i="34"/>
  <c r="C5" i="34"/>
  <c r="C6" i="34"/>
  <c r="C7" i="34"/>
  <c r="C8" i="34"/>
  <c r="C9" i="34"/>
  <c r="C10" i="34"/>
  <c r="C11" i="34"/>
  <c r="C2" i="34"/>
  <c r="C5" i="32"/>
  <c r="C6" i="32"/>
  <c r="C9" i="32"/>
  <c r="C10" i="32"/>
  <c r="G2" i="32"/>
  <c r="F3" i="32"/>
  <c r="F4" i="32"/>
  <c r="F5" i="32"/>
  <c r="F6" i="32"/>
  <c r="F7" i="32"/>
  <c r="F8" i="32"/>
  <c r="F9" i="32"/>
  <c r="F10" i="32"/>
  <c r="F11" i="32"/>
  <c r="F2" i="32"/>
  <c r="E3" i="32"/>
  <c r="E4" i="32"/>
  <c r="E5" i="32"/>
  <c r="E6" i="32"/>
  <c r="E7" i="32"/>
  <c r="E8" i="32"/>
  <c r="E9" i="32"/>
  <c r="E10" i="32"/>
  <c r="E11" i="32"/>
  <c r="E2" i="32"/>
  <c r="B3" i="32"/>
  <c r="C3" i="32" s="1"/>
  <c r="B4" i="32"/>
  <c r="C4" i="32" s="1"/>
  <c r="B5" i="32"/>
  <c r="B6" i="32"/>
  <c r="B7" i="32"/>
  <c r="C7" i="32" s="1"/>
  <c r="B8" i="32"/>
  <c r="C8" i="32" s="1"/>
  <c r="B9" i="32"/>
  <c r="B10" i="32"/>
  <c r="B11" i="32"/>
  <c r="C11" i="32" s="1"/>
  <c r="B2" i="32"/>
  <c r="C2" i="32" s="1"/>
  <c r="C8" i="31"/>
  <c r="B8" i="31"/>
  <c r="F4" i="31"/>
  <c r="C4" i="31"/>
  <c r="E4" i="31"/>
  <c r="D4" i="31"/>
  <c r="C2" i="31"/>
  <c r="C3" i="31" s="1"/>
  <c r="C4" i="30"/>
  <c r="C5" i="30"/>
  <c r="C6" i="30"/>
  <c r="C7" i="30"/>
  <c r="C8" i="30"/>
  <c r="C9" i="30"/>
  <c r="C10" i="30"/>
  <c r="C11" i="30"/>
  <c r="C12" i="30"/>
  <c r="C13" i="30"/>
  <c r="C14" i="30"/>
  <c r="C3" i="30"/>
  <c r="B4" i="30"/>
  <c r="B5" i="30"/>
  <c r="B6" i="30"/>
  <c r="B7" i="30"/>
  <c r="B8" i="30"/>
  <c r="B9" i="30"/>
  <c r="B10" i="30"/>
  <c r="B11" i="30"/>
  <c r="B12" i="30"/>
  <c r="B13" i="30"/>
  <c r="B14" i="30"/>
  <c r="B3" i="30"/>
  <c r="D12" i="29"/>
  <c r="D15" i="29"/>
  <c r="D16" i="29"/>
  <c r="B12" i="29"/>
  <c r="B13" i="29"/>
  <c r="D13" i="29" s="1"/>
  <c r="B14" i="29"/>
  <c r="D14" i="29" s="1"/>
  <c r="B15" i="29"/>
  <c r="B16" i="29"/>
  <c r="B11" i="29"/>
  <c r="D11" i="29" s="1"/>
  <c r="C16" i="29"/>
  <c r="C11" i="29"/>
  <c r="C12" i="29"/>
  <c r="C13" i="29"/>
  <c r="C14" i="29"/>
  <c r="C15" i="29"/>
  <c r="B10" i="29"/>
  <c r="B3" i="29"/>
  <c r="C3" i="29" s="1"/>
  <c r="D3" i="29" s="1"/>
  <c r="B4" i="29"/>
  <c r="C4" i="29" s="1"/>
  <c r="D4" i="29" s="1"/>
  <c r="B5" i="29"/>
  <c r="C5" i="29" s="1"/>
  <c r="D5" i="29" s="1"/>
  <c r="B6" i="29"/>
  <c r="C6" i="29" s="1"/>
  <c r="D6" i="29" s="1"/>
  <c r="B2" i="29"/>
  <c r="C2" i="29" s="1"/>
  <c r="D2" i="29" s="1"/>
  <c r="B2" i="27"/>
  <c r="H2" i="27"/>
  <c r="B11" i="28"/>
  <c r="B1" i="27"/>
  <c r="B4" i="27" s="1"/>
  <c r="B7" i="27" l="1"/>
  <c r="B6" i="27"/>
  <c r="B3" i="27"/>
  <c r="B9" i="27"/>
  <c r="B5" i="27"/>
  <c r="B8" i="27"/>
  <c r="B2" i="35"/>
  <c r="C2" i="35"/>
  <c r="B3" i="35"/>
  <c r="C3" i="35"/>
  <c r="B4" i="35"/>
  <c r="C4" i="35"/>
  <c r="B5" i="35"/>
  <c r="C5" i="35"/>
  <c r="B6" i="35"/>
  <c r="C6" i="35"/>
  <c r="B7" i="35"/>
  <c r="C7" i="35"/>
  <c r="B8" i="35"/>
  <c r="C8" i="35"/>
  <c r="B9" i="35"/>
  <c r="C9" i="35"/>
  <c r="B10" i="35"/>
  <c r="C10" i="35"/>
  <c r="B11" i="35"/>
  <c r="C11" i="35"/>
  <c r="B2" i="33"/>
  <c r="B3" i="33"/>
  <c r="B4" i="33"/>
  <c r="B5" i="33"/>
  <c r="B6" i="33"/>
  <c r="B7" i="33"/>
  <c r="B8" i="33"/>
  <c r="B9" i="33"/>
  <c r="B10" i="33"/>
  <c r="B11" i="33"/>
  <c r="D11" i="33" l="1"/>
  <c r="E11" i="33"/>
  <c r="C11" i="33"/>
  <c r="F11" i="33" s="1"/>
  <c r="G11" i="33" s="1"/>
  <c r="D3" i="33"/>
  <c r="E3" i="33"/>
  <c r="C3" i="33"/>
  <c r="C6" i="33"/>
  <c r="D6" i="33"/>
  <c r="E6" i="33"/>
  <c r="C5" i="33"/>
  <c r="D5" i="33"/>
  <c r="E5" i="33"/>
  <c r="D7" i="33"/>
  <c r="E7" i="33"/>
  <c r="C7" i="33"/>
  <c r="F7" i="33" s="1"/>
  <c r="G7" i="33" s="1"/>
  <c r="C10" i="33"/>
  <c r="F10" i="33" s="1"/>
  <c r="G10" i="33" s="1"/>
  <c r="D10" i="33"/>
  <c r="E10" i="33"/>
  <c r="C2" i="33"/>
  <c r="D2" i="33"/>
  <c r="E2" i="33"/>
  <c r="C9" i="33"/>
  <c r="D9" i="33"/>
  <c r="E9" i="33"/>
  <c r="E8" i="33"/>
  <c r="C8" i="33"/>
  <c r="D8" i="33"/>
  <c r="E4" i="33"/>
  <c r="C4" i="33"/>
  <c r="D4" i="33"/>
  <c r="H5" i="25"/>
  <c r="H6" i="25"/>
  <c r="H7" i="25"/>
  <c r="H8" i="25"/>
  <c r="H9" i="25"/>
  <c r="H10" i="25"/>
  <c r="H11" i="25"/>
  <c r="H4" i="25"/>
  <c r="H3" i="25"/>
  <c r="H2" i="25"/>
  <c r="H12" i="25" s="1"/>
  <c r="G7" i="25"/>
  <c r="I7" i="25" s="1"/>
  <c r="G8" i="25"/>
  <c r="I8" i="25" s="1"/>
  <c r="G9" i="25"/>
  <c r="I9" i="25" s="1"/>
  <c r="G10" i="25"/>
  <c r="I10" i="25" s="1"/>
  <c r="G11" i="25"/>
  <c r="I11" i="25" s="1"/>
  <c r="G6" i="25"/>
  <c r="I6" i="25" s="1"/>
  <c r="G5" i="25"/>
  <c r="I5" i="25" s="1"/>
  <c r="G4" i="25"/>
  <c r="I4" i="25" s="1"/>
  <c r="G3" i="25"/>
  <c r="I3" i="25" s="1"/>
  <c r="G2" i="25"/>
  <c r="G12" i="25" s="1"/>
  <c r="C7" i="25"/>
  <c r="C8" i="25" s="1"/>
  <c r="C9" i="25" s="1"/>
  <c r="K7" i="20"/>
  <c r="M6" i="20"/>
  <c r="H7" i="20"/>
  <c r="C7" i="20"/>
  <c r="C8" i="20"/>
  <c r="C9" i="20" s="1"/>
  <c r="I2" i="25" l="1"/>
  <c r="I12" i="25" s="1"/>
  <c r="F2" i="33"/>
  <c r="G2" i="33" s="1"/>
  <c r="F6" i="33"/>
  <c r="G6" i="33" s="1"/>
  <c r="F8" i="33"/>
  <c r="G8" i="33" s="1"/>
  <c r="F9" i="33"/>
  <c r="G9" i="33" s="1"/>
  <c r="F5" i="33"/>
  <c r="G5" i="33" s="1"/>
  <c r="F3" i="33"/>
  <c r="G3" i="33" s="1"/>
  <c r="F4" i="33"/>
  <c r="G4" i="33" s="1"/>
  <c r="B4" i="21"/>
  <c r="B3" i="21"/>
  <c r="C4" i="22"/>
  <c r="C5" i="22"/>
  <c r="C6" i="22"/>
  <c r="C7" i="22"/>
  <c r="C3" i="22"/>
  <c r="C2" i="24"/>
  <c r="C3" i="24"/>
  <c r="C4" i="24"/>
  <c r="C5" i="24"/>
  <c r="C6" i="24"/>
  <c r="B2" i="24"/>
  <c r="B6" i="24"/>
  <c r="B5" i="24"/>
  <c r="B4" i="24"/>
  <c r="B3" i="24"/>
  <c r="D3" i="23" l="1"/>
  <c r="D4" i="23"/>
  <c r="D5" i="23"/>
  <c r="D6" i="23"/>
  <c r="D7" i="23"/>
  <c r="D8" i="23"/>
  <c r="D9" i="23"/>
  <c r="D10" i="23"/>
  <c r="D11" i="23"/>
  <c r="D12" i="23"/>
  <c r="D13" i="23"/>
  <c r="D2" i="23"/>
  <c r="F2" i="23"/>
  <c r="G2" i="23" s="1"/>
  <c r="E2" i="23"/>
  <c r="G3" i="23"/>
  <c r="G7" i="23"/>
  <c r="G11" i="23"/>
  <c r="F3" i="23"/>
  <c r="F4" i="23"/>
  <c r="G4" i="23" s="1"/>
  <c r="F5" i="23"/>
  <c r="G5" i="23" s="1"/>
  <c r="F6" i="23"/>
  <c r="G6" i="23" s="1"/>
  <c r="F7" i="23"/>
  <c r="F8" i="23"/>
  <c r="G8" i="23" s="1"/>
  <c r="F9" i="23"/>
  <c r="G9" i="23" s="1"/>
  <c r="F10" i="23"/>
  <c r="G10" i="23" s="1"/>
  <c r="F11" i="23"/>
  <c r="F12" i="23"/>
  <c r="G12" i="23" s="1"/>
  <c r="F13" i="23"/>
  <c r="G13" i="23" s="1"/>
  <c r="E3" i="23"/>
  <c r="E4" i="23"/>
  <c r="E5" i="23"/>
  <c r="E6" i="23"/>
  <c r="E7" i="23"/>
  <c r="E8" i="23"/>
  <c r="E9" i="23"/>
  <c r="E10" i="23"/>
  <c r="E11" i="23"/>
  <c r="E12" i="23"/>
  <c r="E13" i="23"/>
  <c r="B3" i="23"/>
  <c r="B4" i="23"/>
  <c r="B5" i="23"/>
  <c r="B6" i="23"/>
  <c r="B7" i="23"/>
  <c r="B8" i="23"/>
  <c r="B9" i="23"/>
  <c r="B10" i="23"/>
  <c r="B11" i="23"/>
  <c r="B12" i="23"/>
  <c r="B13" i="23"/>
  <c r="B2" i="23"/>
  <c r="E2" i="19"/>
  <c r="E3" i="19"/>
  <c r="E4" i="19"/>
  <c r="E5" i="19"/>
  <c r="E6" i="19"/>
  <c r="D3" i="19"/>
  <c r="D4" i="19"/>
  <c r="D5" i="19"/>
  <c r="D6" i="19"/>
  <c r="D2" i="19"/>
  <c r="B3" i="19"/>
  <c r="B4" i="19"/>
  <c r="B5" i="19"/>
  <c r="B6" i="19"/>
  <c r="B7" i="19"/>
  <c r="B8" i="19"/>
  <c r="B9" i="19"/>
  <c r="B10" i="19"/>
  <c r="B11" i="19"/>
  <c r="B12" i="19"/>
  <c r="B13" i="19"/>
  <c r="B2" i="19"/>
  <c r="G2" i="14"/>
  <c r="E3" i="14"/>
  <c r="E4" i="14"/>
  <c r="E5" i="14"/>
  <c r="E6" i="14"/>
  <c r="E7" i="14"/>
  <c r="E8" i="14"/>
  <c r="E9" i="14"/>
  <c r="E10" i="14"/>
  <c r="E11" i="14"/>
  <c r="E12" i="14"/>
  <c r="E13" i="14"/>
  <c r="E2" i="14"/>
  <c r="E14" i="14" s="1"/>
  <c r="L5" i="3"/>
  <c r="N2" i="3"/>
  <c r="O2" i="3"/>
  <c r="P2" i="3"/>
  <c r="Q2" i="3"/>
  <c r="R2" i="3"/>
  <c r="M2" i="3"/>
  <c r="L2" i="3"/>
  <c r="H3" i="2"/>
  <c r="X3" i="11" l="1"/>
  <c r="X4" i="11"/>
  <c r="X7" i="11"/>
  <c r="X6" i="11"/>
  <c r="D16" i="25"/>
  <c r="D17" i="25" s="1"/>
  <c r="E17" i="25" s="1"/>
  <c r="O7" i="25"/>
  <c r="L7" i="25"/>
  <c r="Q6" i="25"/>
  <c r="E16" i="25" l="1"/>
  <c r="D16" i="20" l="1"/>
  <c r="E16" i="20" l="1"/>
  <c r="D17" i="20"/>
  <c r="E17" i="20" s="1"/>
</calcChain>
</file>

<file path=xl/sharedStrings.xml><?xml version="1.0" encoding="utf-8"?>
<sst xmlns="http://schemas.openxmlformats.org/spreadsheetml/2006/main" count="740" uniqueCount="295">
  <si>
    <t>Emp ID</t>
  </si>
  <si>
    <t>Emp Name</t>
  </si>
  <si>
    <t>Age</t>
  </si>
  <si>
    <t>Ashok Singh</t>
  </si>
  <si>
    <t>Shankar Jadhav</t>
  </si>
  <si>
    <t>Vinod Kale</t>
  </si>
  <si>
    <t>Rajendra Verma</t>
  </si>
  <si>
    <t>Raj Singh</t>
  </si>
  <si>
    <t>Santosh Kale</t>
  </si>
  <si>
    <t>Sameer Shinde</t>
  </si>
  <si>
    <t>Ravi Verma</t>
  </si>
  <si>
    <t>Kiran Bhor</t>
  </si>
  <si>
    <t>Vinod Singh</t>
  </si>
  <si>
    <t>Kiran Katekar</t>
  </si>
  <si>
    <t>Ashok Singhania</t>
  </si>
  <si>
    <t>Viresh Pal</t>
  </si>
  <si>
    <t>Vinod Kelkar</t>
  </si>
  <si>
    <t>Rajendra Tasme</t>
  </si>
  <si>
    <t>Zora Shaikh</t>
  </si>
  <si>
    <t>Abdul Shaikh</t>
  </si>
  <si>
    <t>Vinod Pal</t>
  </si>
  <si>
    <t>Sameer Vaje</t>
  </si>
  <si>
    <t>Ravi Verman</t>
  </si>
  <si>
    <t>TIME/TEACHER</t>
  </si>
  <si>
    <t>Asif Sir</t>
  </si>
  <si>
    <t>Vikrant Sir</t>
  </si>
  <si>
    <t>Rahul Sir</t>
  </si>
  <si>
    <t>Akshay Sir</t>
  </si>
  <si>
    <t>Tally</t>
  </si>
  <si>
    <t>Excel</t>
  </si>
  <si>
    <t>DTP</t>
  </si>
  <si>
    <t>Ms-Office</t>
  </si>
  <si>
    <t>Ms-office</t>
  </si>
  <si>
    <t>SELECT</t>
  </si>
  <si>
    <t>INDEX &amp; MATCH</t>
  </si>
  <si>
    <t>Batches Time Table</t>
  </si>
  <si>
    <t>SL. NO</t>
  </si>
  <si>
    <t>NAME</t>
  </si>
  <si>
    <t>PAY DAYS</t>
  </si>
  <si>
    <t>BASIC</t>
  </si>
  <si>
    <t>DA</t>
  </si>
  <si>
    <t>TOTAL PAY</t>
  </si>
  <si>
    <t>PF</t>
  </si>
  <si>
    <t>ESI</t>
  </si>
  <si>
    <t>NET PAY</t>
  </si>
  <si>
    <t>AMIT MAHATA</t>
  </si>
  <si>
    <t>ASHIS MAHATA</t>
  </si>
  <si>
    <t>BARUN RAY</t>
  </si>
  <si>
    <t>BHADU DOLAI</t>
  </si>
  <si>
    <t>BHAKTIPADA DULE</t>
  </si>
  <si>
    <t>BHOLANATH DOLAI</t>
  </si>
  <si>
    <t>BIMAL HANSDA</t>
  </si>
  <si>
    <t>CHITTARANJAN MAHATA</t>
  </si>
  <si>
    <t>CHITTRANJAN GHOSH</t>
  </si>
  <si>
    <t>DIPAK ADHIKARY</t>
  </si>
  <si>
    <t>DIPAK MAHATA</t>
  </si>
  <si>
    <t>GANGA ROY</t>
  </si>
  <si>
    <t>GOUR MAHATA</t>
  </si>
  <si>
    <t>JADUNATH KARMAKAR</t>
  </si>
  <si>
    <t>JHANTU MAHATA (1)</t>
  </si>
  <si>
    <t>JHANTU MAHATA (2)</t>
  </si>
  <si>
    <t>JITEN MAHATO</t>
  </si>
  <si>
    <t>JITENDRA BHANDARI</t>
  </si>
  <si>
    <t>KARTICK MANDI</t>
  </si>
  <si>
    <t>KARTIK MAHATA</t>
  </si>
  <si>
    <t>LOOKUP</t>
  </si>
  <si>
    <t>Amount</t>
  </si>
  <si>
    <t>Employee Code</t>
  </si>
  <si>
    <t>Designation</t>
  </si>
  <si>
    <t>Salary</t>
  </si>
  <si>
    <t>TCS 1</t>
  </si>
  <si>
    <t>MIS Executive</t>
  </si>
  <si>
    <t>TCS 2</t>
  </si>
  <si>
    <t>Consultant</t>
  </si>
  <si>
    <t>TCS 3</t>
  </si>
  <si>
    <t>Accounts Executive</t>
  </si>
  <si>
    <t>TCS 4</t>
  </si>
  <si>
    <t>TCS 5</t>
  </si>
  <si>
    <t>TCS 6</t>
  </si>
  <si>
    <t>TCS 7</t>
  </si>
  <si>
    <t>TCS 8</t>
  </si>
  <si>
    <t>TCS 9</t>
  </si>
  <si>
    <t>TCS 10</t>
  </si>
  <si>
    <t>TCS 11</t>
  </si>
  <si>
    <t>TCS 12</t>
  </si>
  <si>
    <t>Date</t>
  </si>
  <si>
    <t>Transction Type</t>
  </si>
  <si>
    <t>Debit/Credit</t>
  </si>
  <si>
    <t>Online</t>
  </si>
  <si>
    <t>Cash</t>
  </si>
  <si>
    <t>Debit Card</t>
  </si>
  <si>
    <t>Debit</t>
  </si>
  <si>
    <t>Credit</t>
  </si>
  <si>
    <t>TOTAL</t>
  </si>
  <si>
    <t>SEMINAR SEAT BOOKINGS</t>
  </si>
  <si>
    <t>BOOKED</t>
  </si>
  <si>
    <t>PENDING</t>
  </si>
  <si>
    <t>MALE</t>
  </si>
  <si>
    <t>FEMALE</t>
  </si>
  <si>
    <t>F</t>
  </si>
  <si>
    <t>M</t>
  </si>
  <si>
    <t>RATE</t>
  </si>
  <si>
    <t>DVD</t>
  </si>
  <si>
    <t>PENDRIVE</t>
  </si>
  <si>
    <t>KEYBOARD</t>
  </si>
  <si>
    <t>MOUSE</t>
  </si>
  <si>
    <t>SPEAKER</t>
  </si>
  <si>
    <t>LED</t>
  </si>
  <si>
    <t>LCD</t>
  </si>
  <si>
    <t>HDD</t>
  </si>
  <si>
    <t>CPU</t>
  </si>
  <si>
    <t>RAM</t>
  </si>
  <si>
    <t>CABINET</t>
  </si>
  <si>
    <t>SPMS</t>
  </si>
  <si>
    <t>CITY AND PINCODE</t>
  </si>
  <si>
    <t>Mumbai -400086</t>
  </si>
  <si>
    <t>Mumbai -400087</t>
  </si>
  <si>
    <t>Mumbai -400088</t>
  </si>
  <si>
    <t>Mumbai -400089</t>
  </si>
  <si>
    <t>Mumbai -400090</t>
  </si>
  <si>
    <t>Mumbai -400091</t>
  </si>
  <si>
    <t>Mumbai -400092</t>
  </si>
  <si>
    <t>Mumbai -400093</t>
  </si>
  <si>
    <t>Mumbai -400094</t>
  </si>
  <si>
    <t>Mumbai -400095</t>
  </si>
  <si>
    <t>Mumbai -400096</t>
  </si>
  <si>
    <t>Mumbai -400097</t>
  </si>
  <si>
    <t>Delhi -400087</t>
  </si>
  <si>
    <t>Pune -400088</t>
  </si>
  <si>
    <t>Alhabad -400090</t>
  </si>
  <si>
    <t>Surat -400091</t>
  </si>
  <si>
    <t>Punji -400093</t>
  </si>
  <si>
    <t>Bhopal -400094</t>
  </si>
  <si>
    <t>Ranchi -400095</t>
  </si>
  <si>
    <t>Amrutsar -400096</t>
  </si>
  <si>
    <t>Kolkatta -400097</t>
  </si>
  <si>
    <t>MANNUAL CALCULATION</t>
  </si>
  <si>
    <t>INTEREST</t>
  </si>
  <si>
    <t>TOTAL PAID</t>
  </si>
  <si>
    <t>AFTER 60 M</t>
  </si>
  <si>
    <t>FUTURE VALUE</t>
  </si>
  <si>
    <t>LOAN AMOUNT</t>
  </si>
  <si>
    <t>EMI</t>
  </si>
  <si>
    <t>PMT</t>
  </si>
  <si>
    <t>PERIOD</t>
  </si>
  <si>
    <t>"N" NUMBER OF PERIOD</t>
  </si>
  <si>
    <t>MONTHS</t>
  </si>
  <si>
    <t>DURATION</t>
  </si>
  <si>
    <t>P.V</t>
  </si>
  <si>
    <t>RUPEES</t>
  </si>
  <si>
    <t>INTEREST RATE</t>
  </si>
  <si>
    <t>%AGE</t>
  </si>
  <si>
    <t>PER ANNM</t>
  </si>
  <si>
    <t>FORMULA ARGUMENTS</t>
  </si>
  <si>
    <t>GENERAL NAMES</t>
  </si>
  <si>
    <t>FV</t>
  </si>
  <si>
    <t>PV</t>
  </si>
  <si>
    <t>PPMT</t>
  </si>
  <si>
    <t>IPMT</t>
  </si>
  <si>
    <t>PAYMENT TERMS</t>
  </si>
  <si>
    <t>DELHI,400001</t>
  </si>
  <si>
    <t>9812-12-12-12</t>
  </si>
  <si>
    <t>MUMBAI, 400086</t>
  </si>
  <si>
    <t>9812-34-56-78</t>
  </si>
  <si>
    <t>AFTER SUBSTITUTE</t>
  </si>
  <si>
    <t>MOB NO / DATA</t>
  </si>
  <si>
    <t xml:space="preserve">सबस्टीट्यूट  फंक्शन का प्रैक्टिकल यूज़ सीखो </t>
  </si>
  <si>
    <t>Star</t>
  </si>
  <si>
    <t>Ratings</t>
  </si>
  <si>
    <t xml:space="preserve">रिपीट फंक्शन का प्रैक्टिकल यूज़ सीखो </t>
  </si>
  <si>
    <t>Software</t>
  </si>
  <si>
    <t>Photoshop</t>
  </si>
  <si>
    <t>Word</t>
  </si>
  <si>
    <t>PowerPoint</t>
  </si>
  <si>
    <t>Unique</t>
  </si>
  <si>
    <t>frequency</t>
  </si>
  <si>
    <t>col num</t>
  </si>
  <si>
    <t>row no</t>
  </si>
  <si>
    <t>Debit CARD</t>
  </si>
  <si>
    <t>COUNTING</t>
  </si>
  <si>
    <t>ITEM NAME</t>
  </si>
  <si>
    <t>QTY</t>
  </si>
  <si>
    <t>LEFT</t>
  </si>
  <si>
    <t>RIGHT</t>
  </si>
  <si>
    <t>Ahmedabad -400092</t>
  </si>
  <si>
    <t>&lt;5000</t>
  </si>
  <si>
    <t>&gt;=5000</t>
  </si>
  <si>
    <t>Ahmednagar -400089</t>
  </si>
  <si>
    <t>Delhi -40008</t>
  </si>
  <si>
    <t>Pune -4000</t>
  </si>
  <si>
    <t>Chennai -4000895</t>
  </si>
  <si>
    <t>FIND</t>
  </si>
  <si>
    <t>LEN</t>
  </si>
  <si>
    <t>Sanjay Ramji Mishra</t>
  </si>
  <si>
    <t>Arjun Vishal Prajapati</t>
  </si>
  <si>
    <t>Vikas Ramesh Pancholi</t>
  </si>
  <si>
    <t>Ravi Shankar Varma</t>
  </si>
  <si>
    <t>Anvi Rudra Singh</t>
  </si>
  <si>
    <t>Name of Student</t>
  </si>
  <si>
    <t>Mid</t>
  </si>
  <si>
    <t>Paji</t>
  </si>
  <si>
    <t>Bhuvi</t>
  </si>
  <si>
    <t>Bhumra</t>
  </si>
  <si>
    <t>Jadeja</t>
  </si>
  <si>
    <t>Dhoni</t>
  </si>
  <si>
    <t>Rohit</t>
  </si>
  <si>
    <t>Virat</t>
  </si>
  <si>
    <t>Sachin</t>
  </si>
  <si>
    <t>Jun</t>
  </si>
  <si>
    <t>Month</t>
  </si>
  <si>
    <t>Sales</t>
  </si>
  <si>
    <t>Dec</t>
  </si>
  <si>
    <t>Nov</t>
  </si>
  <si>
    <t>Oct</t>
  </si>
  <si>
    <t>Sep</t>
  </si>
  <si>
    <t>Aug</t>
  </si>
  <si>
    <t>Jul</t>
  </si>
  <si>
    <t>May</t>
  </si>
  <si>
    <t>Apr</t>
  </si>
  <si>
    <t>Mar</t>
  </si>
  <si>
    <t>Feb</t>
  </si>
  <si>
    <t>Jan</t>
  </si>
  <si>
    <t>Upper</t>
  </si>
  <si>
    <t>Lower</t>
  </si>
  <si>
    <t>Proper</t>
  </si>
  <si>
    <t>Trim</t>
  </si>
  <si>
    <t>Len</t>
  </si>
  <si>
    <t>QUARTER</t>
  </si>
  <si>
    <t>MONTH</t>
  </si>
  <si>
    <t>DATE</t>
  </si>
  <si>
    <t xml:space="preserve">डेट्स को चार QUARTER में DIVIDE करे </t>
  </si>
  <si>
    <t>W.Expiry Date</t>
  </si>
  <si>
    <t>Purchase Date</t>
  </si>
  <si>
    <t>Edate Example</t>
  </si>
  <si>
    <t>Datedif</t>
  </si>
  <si>
    <t>Edate</t>
  </si>
  <si>
    <t>Today</t>
  </si>
  <si>
    <t>Date Formulas</t>
  </si>
  <si>
    <t>TEXT FORMAT</t>
  </si>
  <si>
    <t>VERIFY</t>
  </si>
  <si>
    <t>SWITCH</t>
  </si>
  <si>
    <t>YEAR</t>
  </si>
  <si>
    <t>DFS</t>
  </si>
  <si>
    <t>DFA</t>
  </si>
  <si>
    <t>AXZ</t>
  </si>
  <si>
    <t>DDT</t>
  </si>
  <si>
    <t>LLT</t>
  </si>
  <si>
    <t>KRK</t>
  </si>
  <si>
    <t>TRT</t>
  </si>
  <si>
    <t>PCB</t>
  </si>
  <si>
    <t>XYZ</t>
  </si>
  <si>
    <t>ABC</t>
  </si>
  <si>
    <t>TEXT</t>
  </si>
  <si>
    <t>WORKDAY</t>
  </si>
  <si>
    <t>FIRST DAY OF NEXT MONTH</t>
  </si>
  <si>
    <t>LAST DAY OF MONTH</t>
  </si>
  <si>
    <t>DAY</t>
  </si>
  <si>
    <t>Rank</t>
  </si>
  <si>
    <t>Score</t>
  </si>
  <si>
    <t>jul</t>
  </si>
  <si>
    <t>sanjay</t>
  </si>
  <si>
    <t>sanjy ramji mishra</t>
  </si>
  <si>
    <t>arjun vishal prajapati</t>
  </si>
  <si>
    <t>ravi shankar varma</t>
  </si>
  <si>
    <t>vikas ramesh pancholi</t>
  </si>
  <si>
    <t>anvi rudra singh</t>
  </si>
  <si>
    <t>name of student</t>
  </si>
  <si>
    <t>sanjay     ramji    mishra</t>
  </si>
  <si>
    <t xml:space="preserve">sanjay    </t>
  </si>
  <si>
    <t>Sanjay</t>
  </si>
  <si>
    <t xml:space="preserve">sanjay   </t>
  </si>
  <si>
    <t xml:space="preserve">sanjay        </t>
  </si>
  <si>
    <t xml:space="preserve">sanjay </t>
  </si>
  <si>
    <t>Course</t>
  </si>
  <si>
    <t>Fees</t>
  </si>
  <si>
    <t>Course Code</t>
  </si>
  <si>
    <t>Location</t>
  </si>
  <si>
    <t>Nagpur</t>
  </si>
  <si>
    <t>Mumbai</t>
  </si>
  <si>
    <t>Delhi</t>
  </si>
  <si>
    <t>Pune</t>
  </si>
  <si>
    <t>Join</t>
  </si>
  <si>
    <t>criteria</t>
  </si>
  <si>
    <t>criteia</t>
  </si>
  <si>
    <t>3 conditn</t>
  </si>
  <si>
    <t>here</t>
  </si>
  <si>
    <t>answer</t>
  </si>
  <si>
    <t xml:space="preserve">column agar pura column </t>
  </si>
  <si>
    <t>select krte hn to fix I required</t>
  </si>
  <si>
    <t xml:space="preserve">nhi hn but ange select rte then </t>
  </si>
  <si>
    <t>fix is equired</t>
  </si>
  <si>
    <t>and vertical drag m bhi koi</t>
  </si>
  <si>
    <t>jaruri nhi hota hain…</t>
  </si>
  <si>
    <t>cross check</t>
  </si>
  <si>
    <t>MIS EX.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</si>
</sst>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_ * #,##0.00_ ;_ * \-#,##0.00_ ;_ * &quot;-&quot;??_ ;_ @_ "/>
    <numFmt numFmtId="166" formatCode="[$-F400]h\.mm\.ss\ AM/PM"/>
    <numFmt numFmtId="167" formatCode="&quot;Rs.&quot;\ #,##0.00"/>
    <numFmt numFmtId="168" formatCode="&quot;Rs.&quot;\ #,##0.00;[Red]&quot;Rs.&quot;\ \-#,##0.00"/>
    <numFmt numFmtId="169" formatCode="dd/mmm/yyyy"/>
    <numFmt numFmtId="170" formatCode="mmmm"/>
    <numFmt numFmtId="171" formatCode="dddd"/>
    <numFmt numFmtId="172" formatCode="dd"/>
    <numFmt numFmtId="178" formatCode="_-* #,##0_-;\-* #,##0_-;_-* &quot;-&quot;??_-;_-@_-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b/>
      <sz val="10"/>
      <color theme="0"/>
      <name val="Times New Roman"/>
      <family val="1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b/>
      <sz val="11"/>
      <color rgb="FF00206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color theme="0"/>
      <name val="Adobe Gothic Std B"/>
      <family val="2"/>
      <charset val="128"/>
    </font>
    <font>
      <b/>
      <sz val="11"/>
      <color indexed="9"/>
      <name val="Calibri"/>
      <family val="2"/>
      <scheme val="minor"/>
    </font>
    <font>
      <b/>
      <sz val="11"/>
      <color theme="0"/>
      <name val="Rupakara"/>
      <family val="2"/>
    </font>
    <font>
      <b/>
      <sz val="14"/>
      <color theme="1"/>
      <name val="Calibri"/>
      <family val="2"/>
      <scheme val="minor"/>
    </font>
    <font>
      <sz val="11"/>
      <color theme="1"/>
      <name val="DVBW-TTBhima"/>
      <family val="5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164" fontId="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1" xfId="0" applyBorder="1"/>
    <xf numFmtId="0" fontId="0" fillId="0" borderId="1" xfId="0" applyFont="1" applyBorder="1"/>
    <xf numFmtId="0" fontId="0" fillId="2" borderId="1" xfId="0" applyFont="1" applyFill="1" applyBorder="1"/>
    <xf numFmtId="0" fontId="0" fillId="0" borderId="0" xfId="0" applyFont="1"/>
    <xf numFmtId="18" fontId="0" fillId="0" borderId="1" xfId="0" applyNumberFormat="1" applyFont="1" applyBorder="1" applyAlignment="1">
      <alignment horizontal="center"/>
    </xf>
    <xf numFmtId="166" fontId="0" fillId="0" borderId="1" xfId="0" applyNumberFormat="1" applyBorder="1"/>
    <xf numFmtId="0" fontId="3" fillId="0" borderId="1" xfId="0" applyFont="1" applyBorder="1"/>
    <xf numFmtId="2" fontId="3" fillId="0" borderId="1" xfId="0" applyNumberFormat="1" applyFont="1" applyBorder="1" applyAlignment="1">
      <alignment horizontal="right"/>
    </xf>
    <xf numFmtId="2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65" fontId="7" fillId="0" borderId="1" xfId="1" applyNumberFormat="1" applyFont="1" applyBorder="1"/>
    <xf numFmtId="165" fontId="7" fillId="0" borderId="1" xfId="1" applyFont="1" applyBorder="1"/>
    <xf numFmtId="0" fontId="6" fillId="3" borderId="1" xfId="0" applyFont="1" applyFill="1" applyBorder="1"/>
    <xf numFmtId="165" fontId="6" fillId="3" borderId="1" xfId="1" applyFont="1" applyFill="1" applyBorder="1"/>
    <xf numFmtId="14" fontId="0" fillId="0" borderId="1" xfId="0" applyNumberFormat="1" applyBorder="1"/>
    <xf numFmtId="0" fontId="0" fillId="5" borderId="1" xfId="0" applyFill="1" applyBorder="1"/>
    <xf numFmtId="0" fontId="8" fillId="5" borderId="2" xfId="0" applyFont="1" applyFill="1" applyBorder="1"/>
    <xf numFmtId="0" fontId="0" fillId="0" borderId="4" xfId="0" applyFont="1" applyBorder="1"/>
    <xf numFmtId="2" fontId="0" fillId="0" borderId="0" xfId="0" applyNumberFormat="1" applyBorder="1"/>
    <xf numFmtId="2" fontId="0" fillId="0" borderId="0" xfId="0" applyNumberFormat="1"/>
    <xf numFmtId="2" fontId="0" fillId="0" borderId="1" xfId="0" applyNumberFormat="1" applyBorder="1"/>
    <xf numFmtId="168" fontId="0" fillId="0" borderId="0" xfId="0" applyNumberFormat="1"/>
    <xf numFmtId="168" fontId="0" fillId="0" borderId="1" xfId="0" applyNumberFormat="1" applyBorder="1"/>
    <xf numFmtId="9" fontId="0" fillId="0" borderId="1" xfId="0" applyNumberFormat="1" applyBorder="1"/>
    <xf numFmtId="0" fontId="0" fillId="0" borderId="8" xfId="0" applyBorder="1"/>
    <xf numFmtId="0" fontId="8" fillId="0" borderId="0" xfId="0" applyFont="1"/>
    <xf numFmtId="0" fontId="10" fillId="0" borderId="1" xfId="0" applyFont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0" fillId="0" borderId="9" xfId="0" applyBorder="1"/>
    <xf numFmtId="2" fontId="8" fillId="0" borderId="1" xfId="0" applyNumberFormat="1" applyFont="1" applyBorder="1"/>
    <xf numFmtId="167" fontId="0" fillId="0" borderId="0" xfId="0" applyNumberFormat="1" applyBorder="1"/>
    <xf numFmtId="0" fontId="8" fillId="0" borderId="0" xfId="0" applyFont="1" applyAlignment="1">
      <alignment vertical="center"/>
    </xf>
    <xf numFmtId="0" fontId="2" fillId="8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left" indent="1"/>
    </xf>
    <xf numFmtId="0" fontId="0" fillId="0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0" fillId="2" borderId="10" xfId="0" applyFont="1" applyFill="1" applyBorder="1"/>
    <xf numFmtId="0" fontId="0" fillId="0" borderId="10" xfId="0" applyFont="1" applyFill="1" applyBorder="1"/>
    <xf numFmtId="0" fontId="0" fillId="5" borderId="10" xfId="0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1" xfId="0" applyFont="1" applyBorder="1"/>
    <xf numFmtId="0" fontId="0" fillId="0" borderId="0" xfId="0" applyFont="1" applyBorder="1" applyAlignment="1"/>
    <xf numFmtId="164" fontId="0" fillId="0" borderId="0" xfId="0" applyNumberFormat="1"/>
    <xf numFmtId="0" fontId="0" fillId="0" borderId="1" xfId="2" applyFont="1" applyBorder="1"/>
    <xf numFmtId="0" fontId="14" fillId="0" borderId="1" xfId="0" applyFont="1" applyFill="1" applyBorder="1" applyAlignment="1">
      <alignment horizontal="center" vertical="center"/>
    </xf>
    <xf numFmtId="0" fontId="15" fillId="0" borderId="1" xfId="0" applyFont="1" applyBorder="1"/>
    <xf numFmtId="2" fontId="15" fillId="0" borderId="1" xfId="0" applyNumberFormat="1" applyFont="1" applyBorder="1"/>
    <xf numFmtId="2" fontId="16" fillId="0" borderId="1" xfId="0" applyNumberFormat="1" applyFont="1" applyBorder="1"/>
    <xf numFmtId="0" fontId="16" fillId="0" borderId="1" xfId="0" applyFont="1" applyBorder="1"/>
    <xf numFmtId="2" fontId="17" fillId="0" borderId="1" xfId="0" applyNumberFormat="1" applyFont="1" applyBorder="1"/>
    <xf numFmtId="9" fontId="0" fillId="0" borderId="1" xfId="4" applyFont="1" applyBorder="1"/>
    <xf numFmtId="15" fontId="18" fillId="0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15" fontId="20" fillId="9" borderId="1" xfId="0" applyNumberFormat="1" applyFont="1" applyFill="1" applyBorder="1" applyAlignment="1">
      <alignment horizontal="center" vertical="center"/>
    </xf>
    <xf numFmtId="9" fontId="0" fillId="0" borderId="0" xfId="0" applyNumberFormat="1"/>
    <xf numFmtId="9" fontId="0" fillId="0" borderId="1" xfId="4" applyFont="1" applyBorder="1" applyAlignment="1">
      <alignment horizontal="center"/>
    </xf>
    <xf numFmtId="0" fontId="0" fillId="10" borderId="1" xfId="0" applyFill="1" applyBorder="1" applyAlignment="1">
      <alignment horizontal="center"/>
    </xf>
    <xf numFmtId="15" fontId="20" fillId="11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" fontId="0" fillId="0" borderId="1" xfId="0" applyNumberFormat="1" applyBorder="1"/>
    <xf numFmtId="170" fontId="0" fillId="0" borderId="1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center"/>
    </xf>
    <xf numFmtId="0" fontId="21" fillId="12" borderId="1" xfId="0" applyFont="1" applyFill="1" applyBorder="1" applyAlignment="1">
      <alignment horizontal="center"/>
    </xf>
    <xf numFmtId="169" fontId="21" fillId="12" borderId="1" xfId="0" applyNumberFormat="1" applyFont="1" applyFill="1" applyBorder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/>
    <xf numFmtId="15" fontId="0" fillId="0" borderId="1" xfId="0" applyNumberFormat="1" applyBorder="1"/>
    <xf numFmtId="0" fontId="23" fillId="5" borderId="1" xfId="0" applyFont="1" applyFill="1" applyBorder="1"/>
    <xf numFmtId="171" fontId="0" fillId="0" borderId="1" xfId="0" applyNumberFormat="1" applyBorder="1"/>
    <xf numFmtId="172" fontId="0" fillId="0" borderId="1" xfId="0" applyNumberFormat="1" applyBorder="1"/>
    <xf numFmtId="0" fontId="23" fillId="5" borderId="10" xfId="0" applyFont="1" applyFill="1" applyBorder="1"/>
    <xf numFmtId="14" fontId="23" fillId="5" borderId="10" xfId="0" applyNumberFormat="1" applyFont="1" applyFill="1" applyBorder="1"/>
    <xf numFmtId="15" fontId="18" fillId="0" borderId="0" xfId="0" applyNumberFormat="1" applyFont="1" applyFill="1" applyBorder="1" applyAlignment="1">
      <alignment horizontal="center" vertical="center"/>
    </xf>
    <xf numFmtId="0" fontId="0" fillId="0" borderId="10" xfId="2" applyFont="1" applyFill="1" applyBorder="1"/>
    <xf numFmtId="169" fontId="0" fillId="0" borderId="1" xfId="0" applyNumberFormat="1" applyBorder="1"/>
    <xf numFmtId="0" fontId="0" fillId="0" borderId="1" xfId="0" applyFill="1" applyBorder="1"/>
    <xf numFmtId="0" fontId="0" fillId="0" borderId="1" xfId="2" applyFont="1" applyFill="1" applyBorder="1"/>
    <xf numFmtId="0" fontId="0" fillId="14" borderId="0" xfId="0" applyFill="1"/>
    <xf numFmtId="178" fontId="0" fillId="0" borderId="0" xfId="0" applyNumberFormat="1"/>
    <xf numFmtId="0" fontId="0" fillId="5" borderId="5" xfId="0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169" fontId="22" fillId="13" borderId="1" xfId="0" applyNumberFormat="1" applyFont="1" applyFill="1" applyBorder="1" applyAlignment="1">
      <alignment horizontal="center" vertical="center"/>
    </xf>
  </cellXfs>
  <cellStyles count="5">
    <cellStyle name="Comma" xfId="1" builtinId="3"/>
    <cellStyle name="Comma 2" xfId="3" xr:uid="{00000000-0005-0000-0000-000001000000}"/>
    <cellStyle name="Normal" xfId="0" builtinId="0"/>
    <cellStyle name="Normal 2" xfId="2" xr:uid="{00000000-0005-0000-0000-000003000000}"/>
    <cellStyle name="Percent" xfId="4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1051891</xdr:colOff>
      <xdr:row>3</xdr:row>
      <xdr:rowOff>99392</xdr:rowOff>
    </xdr:from>
    <xdr:to>
      <xdr:col>5</xdr:col>
      <xdr:colOff>0</xdr:colOff>
      <xdr:row>13</xdr:row>
      <xdr:rowOff>66261</xdr:rowOff>
    </xdr:to>
    <xdr:grpSp>
      <xdr:nvGrpSpPr>
        <xdr:cNvPr id="2" name="Group 1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793838" y="721024"/>
          <a:ext cx="3204280" cy="1871869"/>
          <a:chOff x="1794184" y="723444"/>
          <a:chExt cx="5151498" cy="1911283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CxnSpPr/>
        </xdr:nvCxnSpPr>
        <xdr:spPr>
          <a:xfrm flipV="1">
            <a:off x="2583317" y="1291517"/>
            <a:ext cx="2387391" cy="16565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CxnSpPr/>
        </xdr:nvCxnSpPr>
        <xdr:spPr>
          <a:xfrm>
            <a:off x="2568466" y="1707931"/>
            <a:ext cx="3225362" cy="580640"/>
          </a:xfrm>
          <a:prstGeom prst="bentConnector3">
            <a:avLst>
              <a:gd name="adj1" fmla="val 50000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Arrow Connector 9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1794184" y="723444"/>
            <a:ext cx="4662252" cy="1911283"/>
          </a:xfrm>
          <a:prstGeom prst="bentConnector3">
            <a:avLst>
              <a:gd name="adj1" fmla="val -1571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CxnSpPr/>
        </xdr:nvCxnSpPr>
        <xdr:spPr>
          <a:xfrm>
            <a:off x="6945681" y="2180897"/>
            <a:ext cx="1" cy="404134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1051891</xdr:colOff>
      <xdr:row>3</xdr:row>
      <xdr:rowOff>99392</xdr:rowOff>
    </xdr:from>
    <xdr:to>
      <xdr:col>7</xdr:col>
      <xdr:colOff>455544</xdr:colOff>
      <xdr:row>13</xdr:row>
      <xdr:rowOff>66261</xdr:rowOff>
    </xdr:to>
    <xdr:grpSp>
      <xdr:nvGrpSpPr>
        <xdr:cNvPr id="2" name="Group 1" hidden="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796032" y="718517"/>
          <a:ext cx="5160325" cy="1871869"/>
          <a:chOff x="1794184" y="723444"/>
          <a:chExt cx="5151498" cy="1911283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CxnSpPr/>
        </xdr:nvCxnSpPr>
        <xdr:spPr>
          <a:xfrm flipV="1">
            <a:off x="2583317" y="1291517"/>
            <a:ext cx="2387391" cy="16565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CxnSpPr/>
        </xdr:nvCxnSpPr>
        <xdr:spPr>
          <a:xfrm>
            <a:off x="2568466" y="1707931"/>
            <a:ext cx="3225362" cy="580640"/>
          </a:xfrm>
          <a:prstGeom prst="bentConnector3">
            <a:avLst>
              <a:gd name="adj1" fmla="val 50000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Arrow Connector 9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CxnSpPr/>
        </xdr:nvCxnSpPr>
        <xdr:spPr>
          <a:xfrm>
            <a:off x="1794184" y="723444"/>
            <a:ext cx="4662252" cy="1911283"/>
          </a:xfrm>
          <a:prstGeom prst="bentConnector3">
            <a:avLst>
              <a:gd name="adj1" fmla="val -1571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CxnSpPr/>
        </xdr:nvCxnSpPr>
        <xdr:spPr>
          <a:xfrm>
            <a:off x="6945681" y="2180897"/>
            <a:ext cx="1" cy="404134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X15"/>
  <sheetViews>
    <sheetView topLeftCell="A2" zoomScaleNormal="100" workbookViewId="0">
      <selection activeCell="W14" sqref="W14"/>
    </sheetView>
  </sheetViews>
  <sheetFormatPr defaultRowHeight="15"/>
  <cols>
    <col min="1" max="1" width="10.42578125" bestFit="1" customWidth="1"/>
    <col min="2" max="2" width="14" bestFit="1" customWidth="1"/>
    <col min="3" max="21" width="2.7109375" customWidth="1"/>
    <col min="23" max="23" width="9.28515625" customWidth="1"/>
  </cols>
  <sheetData>
    <row r="1" spans="3:24" ht="15.75" thickBot="1"/>
    <row r="2" spans="3:24" ht="15.75" thickBot="1">
      <c r="C2" s="88" t="s">
        <v>94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</row>
    <row r="3" spans="3:24">
      <c r="C3" s="22" t="s">
        <v>99</v>
      </c>
      <c r="D3" s="22" t="s">
        <v>99</v>
      </c>
      <c r="E3" s="22" t="s">
        <v>99</v>
      </c>
      <c r="F3" s="22" t="s">
        <v>99</v>
      </c>
      <c r="G3" s="22" t="s">
        <v>99</v>
      </c>
      <c r="H3" s="22" t="s">
        <v>99</v>
      </c>
      <c r="I3" s="22" t="s">
        <v>99</v>
      </c>
      <c r="J3" s="22" t="s">
        <v>99</v>
      </c>
      <c r="K3" s="22" t="s">
        <v>99</v>
      </c>
      <c r="L3" s="22" t="s">
        <v>99</v>
      </c>
      <c r="M3" s="22" t="s">
        <v>99</v>
      </c>
      <c r="N3" s="22" t="s">
        <v>99</v>
      </c>
      <c r="O3" s="22" t="s">
        <v>99</v>
      </c>
      <c r="P3" s="22" t="s">
        <v>99</v>
      </c>
      <c r="Q3" s="22" t="s">
        <v>99</v>
      </c>
      <c r="R3" s="22" t="s">
        <v>99</v>
      </c>
      <c r="S3" s="22" t="s">
        <v>99</v>
      </c>
      <c r="T3" s="22" t="s">
        <v>99</v>
      </c>
      <c r="U3" s="22" t="s">
        <v>99</v>
      </c>
      <c r="W3" t="s">
        <v>95</v>
      </c>
      <c r="X3">
        <f>COUNTA(C3:U15)</f>
        <v>123</v>
      </c>
    </row>
    <row r="4" spans="3:24">
      <c r="C4" s="2" t="s">
        <v>100</v>
      </c>
      <c r="D4" s="2" t="s">
        <v>100</v>
      </c>
      <c r="E4" s="2" t="s">
        <v>100</v>
      </c>
      <c r="F4" s="2" t="s">
        <v>100</v>
      </c>
      <c r="G4" s="2"/>
      <c r="H4" s="2"/>
      <c r="I4" s="2"/>
      <c r="J4" s="2"/>
      <c r="K4" s="2" t="s">
        <v>100</v>
      </c>
      <c r="L4" s="2" t="s">
        <v>100</v>
      </c>
      <c r="M4" s="2" t="s">
        <v>100</v>
      </c>
      <c r="N4" s="2"/>
      <c r="O4" s="2"/>
      <c r="P4" s="2"/>
      <c r="Q4" s="2"/>
      <c r="R4" s="2"/>
      <c r="S4" s="2" t="s">
        <v>100</v>
      </c>
      <c r="T4" s="2" t="s">
        <v>100</v>
      </c>
      <c r="U4" s="2" t="s">
        <v>100</v>
      </c>
      <c r="W4" t="s">
        <v>96</v>
      </c>
      <c r="X4">
        <f>COUNTBLANK(C3:U15)-COUNTBLANK(J6:N10)</f>
        <v>99</v>
      </c>
    </row>
    <row r="5" spans="3:24">
      <c r="C5" s="2" t="s">
        <v>99</v>
      </c>
      <c r="D5" s="2" t="s">
        <v>99</v>
      </c>
      <c r="E5" s="2" t="s">
        <v>99</v>
      </c>
      <c r="F5" s="2" t="s">
        <v>99</v>
      </c>
      <c r="G5" s="2"/>
      <c r="H5" s="2" t="s">
        <v>100</v>
      </c>
      <c r="I5" s="2" t="s">
        <v>100</v>
      </c>
      <c r="J5" s="48" t="s">
        <v>99</v>
      </c>
      <c r="K5" s="48" t="s">
        <v>99</v>
      </c>
      <c r="L5" s="48" t="s">
        <v>99</v>
      </c>
      <c r="M5" s="48" t="s">
        <v>99</v>
      </c>
      <c r="N5" s="48"/>
      <c r="O5" s="2" t="s">
        <v>100</v>
      </c>
      <c r="P5" s="2"/>
      <c r="Q5" s="2"/>
      <c r="R5" s="2"/>
      <c r="S5" s="2" t="s">
        <v>99</v>
      </c>
      <c r="T5" s="2" t="s">
        <v>99</v>
      </c>
      <c r="U5" s="2" t="s">
        <v>99</v>
      </c>
    </row>
    <row r="6" spans="3:24">
      <c r="C6" s="2" t="s">
        <v>100</v>
      </c>
      <c r="D6" s="2" t="s">
        <v>100</v>
      </c>
      <c r="E6" s="2" t="s">
        <v>100</v>
      </c>
      <c r="F6" s="2" t="s">
        <v>100</v>
      </c>
      <c r="G6" s="2"/>
      <c r="H6" s="2"/>
      <c r="I6" s="46"/>
      <c r="J6" s="49"/>
      <c r="K6" s="49"/>
      <c r="L6" s="49"/>
      <c r="M6" s="49"/>
      <c r="N6" s="49"/>
      <c r="O6" s="47" t="s">
        <v>99</v>
      </c>
      <c r="P6" s="2"/>
      <c r="Q6" s="2" t="s">
        <v>100</v>
      </c>
      <c r="R6" s="2"/>
      <c r="S6" s="2"/>
      <c r="T6" s="2" t="s">
        <v>100</v>
      </c>
      <c r="U6" s="2" t="s">
        <v>100</v>
      </c>
      <c r="V6" s="44" t="s">
        <v>100</v>
      </c>
      <c r="W6" t="s">
        <v>97</v>
      </c>
      <c r="X6">
        <f>COUNTIF(C3:U15,V6)</f>
        <v>53</v>
      </c>
    </row>
    <row r="7" spans="3:24">
      <c r="C7" s="2" t="s">
        <v>99</v>
      </c>
      <c r="D7" s="2" t="s">
        <v>99</v>
      </c>
      <c r="E7" s="2" t="s">
        <v>99</v>
      </c>
      <c r="F7" s="2" t="s">
        <v>99</v>
      </c>
      <c r="G7" s="2"/>
      <c r="H7" s="2"/>
      <c r="I7" s="46"/>
      <c r="J7" s="49"/>
      <c r="K7" s="49"/>
      <c r="L7" s="49"/>
      <c r="M7" s="49"/>
      <c r="N7" s="49"/>
      <c r="O7" s="47"/>
      <c r="P7" s="2"/>
      <c r="Q7" s="2" t="s">
        <v>99</v>
      </c>
      <c r="R7" s="2"/>
      <c r="S7" s="2"/>
      <c r="T7" s="2" t="s">
        <v>99</v>
      </c>
      <c r="U7" s="2" t="s">
        <v>99</v>
      </c>
      <c r="V7" s="44" t="s">
        <v>99</v>
      </c>
      <c r="W7" t="s">
        <v>98</v>
      </c>
      <c r="X7">
        <f>COUNTIF(C3:U15,V7)</f>
        <v>70</v>
      </c>
    </row>
    <row r="8" spans="3:24">
      <c r="C8" s="2" t="s">
        <v>99</v>
      </c>
      <c r="D8" s="2" t="s">
        <v>99</v>
      </c>
      <c r="E8" s="2" t="s">
        <v>99</v>
      </c>
      <c r="F8" s="2" t="s">
        <v>99</v>
      </c>
      <c r="G8" s="2" t="s">
        <v>99</v>
      </c>
      <c r="H8" s="2" t="s">
        <v>99</v>
      </c>
      <c r="I8" s="46" t="s">
        <v>99</v>
      </c>
      <c r="J8" s="49"/>
      <c r="K8" s="49"/>
      <c r="L8" s="49"/>
      <c r="M8" s="49"/>
      <c r="N8" s="49"/>
      <c r="O8" s="47"/>
      <c r="P8" s="2" t="s">
        <v>99</v>
      </c>
      <c r="Q8" s="2" t="s">
        <v>99</v>
      </c>
      <c r="R8" s="2"/>
      <c r="S8" s="2"/>
      <c r="T8" s="2" t="s">
        <v>99</v>
      </c>
      <c r="U8" s="2" t="s">
        <v>99</v>
      </c>
    </row>
    <row r="9" spans="3:24">
      <c r="C9" s="2" t="s">
        <v>99</v>
      </c>
      <c r="D9" s="2" t="s">
        <v>99</v>
      </c>
      <c r="E9" s="2"/>
      <c r="F9" s="2"/>
      <c r="G9" s="2"/>
      <c r="H9" s="2" t="s">
        <v>99</v>
      </c>
      <c r="I9" s="46" t="s">
        <v>99</v>
      </c>
      <c r="J9" s="49"/>
      <c r="K9" s="49"/>
      <c r="L9" s="49"/>
      <c r="M9" s="49"/>
      <c r="N9" s="49"/>
      <c r="O9" s="47"/>
      <c r="P9" s="2" t="s">
        <v>99</v>
      </c>
      <c r="Q9" s="2" t="s">
        <v>99</v>
      </c>
      <c r="R9" s="2"/>
      <c r="S9" s="2"/>
      <c r="T9" s="2" t="s">
        <v>99</v>
      </c>
      <c r="U9" s="2" t="s">
        <v>99</v>
      </c>
    </row>
    <row r="10" spans="3:24">
      <c r="C10" s="2" t="s">
        <v>99</v>
      </c>
      <c r="D10" s="2" t="s">
        <v>99</v>
      </c>
      <c r="E10" s="2" t="s">
        <v>99</v>
      </c>
      <c r="F10" s="2" t="s">
        <v>99</v>
      </c>
      <c r="G10" s="2" t="s">
        <v>99</v>
      </c>
      <c r="H10" s="2" t="s">
        <v>99</v>
      </c>
      <c r="I10" s="46" t="s">
        <v>99</v>
      </c>
      <c r="J10" s="49"/>
      <c r="K10" s="49"/>
      <c r="L10" s="49"/>
      <c r="M10" s="49"/>
      <c r="N10" s="49"/>
      <c r="O10" s="47" t="s">
        <v>99</v>
      </c>
      <c r="P10" s="2" t="s">
        <v>99</v>
      </c>
      <c r="Q10" s="2" t="s">
        <v>99</v>
      </c>
      <c r="R10" s="2"/>
      <c r="S10" s="2"/>
      <c r="T10" s="2" t="s">
        <v>99</v>
      </c>
      <c r="U10" s="2" t="s">
        <v>99</v>
      </c>
    </row>
    <row r="11" spans="3:24">
      <c r="C11" s="2" t="s">
        <v>100</v>
      </c>
      <c r="D11" s="2" t="s">
        <v>100</v>
      </c>
      <c r="E11" s="2"/>
      <c r="F11" s="2"/>
      <c r="G11" s="2"/>
      <c r="H11" s="2"/>
      <c r="I11" s="2"/>
      <c r="J11" s="22"/>
      <c r="K11" s="22"/>
      <c r="L11" s="22" t="s">
        <v>100</v>
      </c>
      <c r="M11" s="22" t="s">
        <v>100</v>
      </c>
      <c r="N11" s="22" t="s">
        <v>100</v>
      </c>
      <c r="O11" s="2" t="s">
        <v>100</v>
      </c>
      <c r="P11" s="2" t="s">
        <v>100</v>
      </c>
      <c r="Q11" s="2" t="s">
        <v>100</v>
      </c>
      <c r="R11" s="2"/>
      <c r="S11" s="2"/>
      <c r="T11" s="2" t="s">
        <v>100</v>
      </c>
      <c r="U11" s="2" t="s">
        <v>100</v>
      </c>
    </row>
    <row r="12" spans="3:24">
      <c r="C12" s="2" t="s">
        <v>100</v>
      </c>
      <c r="D12" s="2" t="s">
        <v>99</v>
      </c>
      <c r="E12" s="2"/>
      <c r="F12" s="2"/>
      <c r="G12" s="2"/>
      <c r="H12" s="2"/>
      <c r="I12" s="2"/>
      <c r="J12" s="2"/>
      <c r="K12" s="2"/>
      <c r="L12" s="2" t="s">
        <v>100</v>
      </c>
      <c r="M12" s="2" t="s">
        <v>100</v>
      </c>
      <c r="N12" s="2"/>
      <c r="O12" s="2"/>
      <c r="P12" s="2"/>
      <c r="Q12" s="2"/>
      <c r="R12" s="2"/>
      <c r="S12" s="2"/>
      <c r="T12" s="2" t="s">
        <v>100</v>
      </c>
      <c r="U12" s="2" t="s">
        <v>100</v>
      </c>
    </row>
    <row r="13" spans="3:24">
      <c r="C13" s="2" t="s">
        <v>100</v>
      </c>
      <c r="D13" s="2" t="s">
        <v>100</v>
      </c>
      <c r="E13" s="2"/>
      <c r="F13" s="2"/>
      <c r="G13" s="2"/>
      <c r="H13" s="2"/>
      <c r="I13" s="2"/>
      <c r="J13" s="2"/>
      <c r="K13" s="2"/>
      <c r="L13" s="2" t="s">
        <v>100</v>
      </c>
      <c r="M13" s="2" t="s">
        <v>100</v>
      </c>
      <c r="N13" s="2"/>
      <c r="O13" s="2"/>
      <c r="P13" s="2"/>
      <c r="Q13" s="2"/>
      <c r="R13" s="2"/>
      <c r="S13" s="2"/>
      <c r="T13" s="2" t="s">
        <v>100</v>
      </c>
      <c r="U13" s="2" t="s">
        <v>100</v>
      </c>
    </row>
    <row r="14" spans="3:24">
      <c r="C14" s="2" t="s">
        <v>100</v>
      </c>
      <c r="D14" s="2" t="s">
        <v>100</v>
      </c>
      <c r="E14" s="2"/>
      <c r="F14" s="2"/>
      <c r="G14" s="2"/>
      <c r="H14" s="2"/>
      <c r="I14" s="2"/>
      <c r="J14" s="2"/>
      <c r="K14" s="2"/>
      <c r="L14" s="2" t="s">
        <v>100</v>
      </c>
      <c r="M14" s="2" t="s">
        <v>100</v>
      </c>
      <c r="N14" s="2"/>
      <c r="O14" s="2"/>
      <c r="P14" s="2"/>
      <c r="Q14" s="2"/>
      <c r="R14" s="2"/>
      <c r="S14" s="2"/>
      <c r="T14" s="2" t="s">
        <v>100</v>
      </c>
      <c r="U14" s="2" t="s">
        <v>100</v>
      </c>
    </row>
    <row r="15" spans="3:24">
      <c r="C15" s="2" t="s">
        <v>100</v>
      </c>
      <c r="D15" s="2" t="s">
        <v>100</v>
      </c>
      <c r="E15" s="2"/>
      <c r="F15" s="2"/>
      <c r="G15" s="2"/>
      <c r="H15" s="2"/>
      <c r="I15" s="2"/>
      <c r="J15" s="2"/>
      <c r="K15" s="2"/>
      <c r="L15" s="2" t="s">
        <v>100</v>
      </c>
      <c r="M15" s="2" t="s">
        <v>100</v>
      </c>
      <c r="N15" s="2"/>
      <c r="O15" s="2"/>
      <c r="P15" s="2"/>
      <c r="Q15" s="2"/>
      <c r="R15" s="2"/>
      <c r="S15" s="2"/>
      <c r="T15" s="2" t="s">
        <v>100</v>
      </c>
      <c r="U15" s="2" t="s">
        <v>100</v>
      </c>
    </row>
  </sheetData>
  <mergeCells count="1">
    <mergeCell ref="C2:U2"/>
  </mergeCells>
  <conditionalFormatting sqref="C3:U5 V6:V7 C11:U15 C6:J6 C7:I10 O6:U10">
    <cfRule type="cellIs" dxfId="1" priority="1" operator="equal">
      <formula>"M"</formula>
    </cfRule>
    <cfRule type="cellIs" dxfId="0" priority="2" operator="equal">
      <formula>"F"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tabSelected="1" zoomScaleNormal="100" workbookViewId="0">
      <selection activeCell="J10" sqref="J10"/>
    </sheetView>
  </sheetViews>
  <sheetFormatPr defaultRowHeight="15"/>
  <cols>
    <col min="1" max="1" width="11" bestFit="1" customWidth="1"/>
    <col min="2" max="2" width="14" bestFit="1" customWidth="1"/>
    <col min="3" max="3" width="11.5703125" customWidth="1"/>
    <col min="6" max="6" width="11.28515625" customWidth="1"/>
    <col min="7" max="7" width="10.28515625" bestFit="1" customWidth="1"/>
  </cols>
  <sheetData>
    <row r="1" spans="1:8">
      <c r="A1" s="20" t="s">
        <v>85</v>
      </c>
      <c r="B1" s="20" t="s">
        <v>86</v>
      </c>
      <c r="C1" s="20" t="s">
        <v>87</v>
      </c>
      <c r="D1" s="20" t="s">
        <v>66</v>
      </c>
      <c r="F1" s="21" t="s">
        <v>93</v>
      </c>
      <c r="G1" s="20" t="s">
        <v>179</v>
      </c>
      <c r="H1" s="20"/>
    </row>
    <row r="2" spans="1:8">
      <c r="A2" s="19">
        <v>43739</v>
      </c>
      <c r="B2" s="1" t="s">
        <v>88</v>
      </c>
      <c r="C2" s="1" t="s">
        <v>91</v>
      </c>
      <c r="D2" s="1">
        <v>5000</v>
      </c>
      <c r="F2" s="1" t="s">
        <v>88</v>
      </c>
      <c r="G2" s="1">
        <f>COUNTIF(B:B,F2)</f>
        <v>6</v>
      </c>
      <c r="H2" s="1">
        <f>COUNTIF(B:B,"online")</f>
        <v>6</v>
      </c>
    </row>
    <row r="3" spans="1:8">
      <c r="A3" s="19">
        <v>43740</v>
      </c>
      <c r="B3" s="1" t="s">
        <v>88</v>
      </c>
      <c r="C3" s="1" t="s">
        <v>92</v>
      </c>
      <c r="D3" s="1">
        <v>5000</v>
      </c>
      <c r="F3" s="1" t="s">
        <v>89</v>
      </c>
      <c r="G3" s="1">
        <f t="shared" ref="G3:G4" si="0">COUNTIF(B:B,F3)</f>
        <v>3</v>
      </c>
      <c r="H3" s="1">
        <f>COUNTIF(B:B,"cash")</f>
        <v>3</v>
      </c>
    </row>
    <row r="4" spans="1:8">
      <c r="A4" s="19">
        <v>43741</v>
      </c>
      <c r="B4" s="1" t="s">
        <v>88</v>
      </c>
      <c r="C4" s="1" t="s">
        <v>91</v>
      </c>
      <c r="D4" s="1">
        <v>4500</v>
      </c>
      <c r="F4" s="1" t="s">
        <v>178</v>
      </c>
      <c r="G4" s="1">
        <f t="shared" si="0"/>
        <v>3</v>
      </c>
      <c r="H4" s="1">
        <f>COUNTIF(B:B,"Debit CARD")</f>
        <v>3</v>
      </c>
    </row>
    <row r="5" spans="1:8">
      <c r="A5" s="19">
        <v>43742</v>
      </c>
      <c r="B5" s="1" t="s">
        <v>89</v>
      </c>
      <c r="C5" s="1" t="s">
        <v>91</v>
      </c>
      <c r="D5" s="1">
        <v>6500</v>
      </c>
    </row>
    <row r="6" spans="1:8">
      <c r="A6" s="19">
        <v>43743</v>
      </c>
      <c r="B6" s="1" t="s">
        <v>88</v>
      </c>
      <c r="C6" s="1" t="s">
        <v>92</v>
      </c>
      <c r="D6" s="1">
        <v>4500</v>
      </c>
      <c r="F6" s="1" t="s">
        <v>91</v>
      </c>
      <c r="G6">
        <f>COUNTIF(C:C,F6)</f>
        <v>7</v>
      </c>
      <c r="H6">
        <f>COUNTIF(C:C,"Debit")</f>
        <v>7</v>
      </c>
    </row>
    <row r="7" spans="1:8">
      <c r="A7" s="19">
        <v>43744</v>
      </c>
      <c r="B7" s="1" t="s">
        <v>88</v>
      </c>
      <c r="C7" s="1" t="s">
        <v>91</v>
      </c>
      <c r="D7" s="1">
        <v>6000</v>
      </c>
      <c r="F7" s="1" t="s">
        <v>92</v>
      </c>
      <c r="G7">
        <f>COUNTIF(C:C,F7)</f>
        <v>5</v>
      </c>
      <c r="H7">
        <f>COUNTIF(C:C,"Credit")</f>
        <v>5</v>
      </c>
    </row>
    <row r="8" spans="1:8">
      <c r="A8" s="19">
        <v>43745</v>
      </c>
      <c r="B8" s="1" t="s">
        <v>89</v>
      </c>
      <c r="C8" s="1" t="s">
        <v>92</v>
      </c>
      <c r="D8" s="1">
        <v>4500</v>
      </c>
    </row>
    <row r="9" spans="1:8">
      <c r="A9" s="19">
        <v>43746</v>
      </c>
      <c r="B9" s="1" t="s">
        <v>89</v>
      </c>
      <c r="C9" s="1" t="s">
        <v>92</v>
      </c>
      <c r="D9" s="1">
        <v>600</v>
      </c>
      <c r="F9" t="s">
        <v>186</v>
      </c>
      <c r="G9">
        <f>COUNTIFS(D:D,F9)</f>
        <v>4</v>
      </c>
      <c r="H9">
        <f>COUNTIF(D:D,"&gt;=5000")</f>
        <v>4</v>
      </c>
    </row>
    <row r="10" spans="1:8">
      <c r="A10" s="19">
        <v>43747</v>
      </c>
      <c r="B10" s="1" t="s">
        <v>90</v>
      </c>
      <c r="C10" s="1" t="s">
        <v>91</v>
      </c>
      <c r="D10" s="1">
        <v>1500</v>
      </c>
      <c r="F10" t="s">
        <v>185</v>
      </c>
      <c r="G10">
        <f>COUNTIFS(D:D,F10)</f>
        <v>8</v>
      </c>
      <c r="H10">
        <f>COUNTIF(D:D,"&lt;5000")</f>
        <v>8</v>
      </c>
    </row>
    <row r="11" spans="1:8">
      <c r="A11" s="19">
        <v>43748</v>
      </c>
      <c r="B11" s="1" t="s">
        <v>90</v>
      </c>
      <c r="C11" s="1" t="s">
        <v>91</v>
      </c>
      <c r="D11" s="1">
        <v>1450</v>
      </c>
    </row>
    <row r="12" spans="1:8">
      <c r="A12" s="19">
        <v>43749</v>
      </c>
      <c r="B12" s="1" t="s">
        <v>88</v>
      </c>
      <c r="C12" s="1" t="s">
        <v>92</v>
      </c>
      <c r="D12" s="1">
        <v>650</v>
      </c>
    </row>
    <row r="13" spans="1:8">
      <c r="A13" s="19">
        <v>43750</v>
      </c>
      <c r="B13" s="1" t="s">
        <v>90</v>
      </c>
      <c r="C13" s="1" t="s">
        <v>91</v>
      </c>
      <c r="D13" s="1">
        <v>2560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3"/>
  <sheetViews>
    <sheetView zoomScale="175" zoomScaleNormal="175" workbookViewId="0">
      <selection activeCell="G8" sqref="G8"/>
    </sheetView>
  </sheetViews>
  <sheetFormatPr defaultRowHeight="15"/>
  <cols>
    <col min="1" max="1" width="11" bestFit="1" customWidth="1"/>
    <col min="2" max="2" width="14" bestFit="1" customWidth="1"/>
    <col min="3" max="3" width="11.5703125" customWidth="1"/>
    <col min="5" max="5" width="11.5703125" customWidth="1"/>
    <col min="6" max="6" width="11" customWidth="1"/>
  </cols>
  <sheetData>
    <row r="1" spans="1:9">
      <c r="A1" s="20" t="s">
        <v>85</v>
      </c>
      <c r="B1" s="20" t="s">
        <v>86</v>
      </c>
      <c r="C1" s="20" t="s">
        <v>87</v>
      </c>
      <c r="D1" s="20" t="s">
        <v>66</v>
      </c>
      <c r="F1" s="21" t="s">
        <v>93</v>
      </c>
      <c r="G1" s="20" t="s">
        <v>91</v>
      </c>
      <c r="H1" s="20" t="s">
        <v>92</v>
      </c>
    </row>
    <row r="2" spans="1:9">
      <c r="A2" s="19">
        <v>43739</v>
      </c>
      <c r="B2" s="1" t="s">
        <v>88</v>
      </c>
      <c r="C2" s="1" t="s">
        <v>91</v>
      </c>
      <c r="D2" s="1">
        <v>5000</v>
      </c>
      <c r="F2" s="1" t="s">
        <v>88</v>
      </c>
      <c r="G2" s="1">
        <f>COUNTIFS($B:$B,$F2,$C:$C,G$1)</f>
        <v>2</v>
      </c>
      <c r="H2" s="1">
        <f>COUNTIFS($B:$B,$F2,$C:$C,H$1)</f>
        <v>2</v>
      </c>
    </row>
    <row r="3" spans="1:9">
      <c r="A3" s="19">
        <v>43740</v>
      </c>
      <c r="B3" s="1" t="s">
        <v>89</v>
      </c>
      <c r="C3" s="1" t="s">
        <v>92</v>
      </c>
      <c r="D3" s="1">
        <v>6000</v>
      </c>
      <c r="F3" s="1" t="s">
        <v>89</v>
      </c>
      <c r="G3" s="1">
        <f t="shared" ref="G3:H4" si="0">COUNTIFS($B:$B,$F3,$C:$C,G$1)</f>
        <v>1</v>
      </c>
      <c r="H3" s="1">
        <f t="shared" si="0"/>
        <v>3</v>
      </c>
      <c r="I3" s="86">
        <v>2</v>
      </c>
    </row>
    <row r="4" spans="1:9">
      <c r="A4" s="19">
        <v>43741</v>
      </c>
      <c r="B4" s="1" t="s">
        <v>88</v>
      </c>
      <c r="C4" s="1" t="s">
        <v>91</v>
      </c>
      <c r="D4" s="1">
        <v>6500</v>
      </c>
      <c r="F4" s="1" t="s">
        <v>178</v>
      </c>
      <c r="G4" s="1">
        <f t="shared" si="0"/>
        <v>4</v>
      </c>
      <c r="H4" s="1">
        <f t="shared" si="0"/>
        <v>0</v>
      </c>
      <c r="I4" s="86" t="s">
        <v>282</v>
      </c>
    </row>
    <row r="5" spans="1:9">
      <c r="A5" s="19">
        <v>43742</v>
      </c>
      <c r="B5" s="1" t="s">
        <v>89</v>
      </c>
      <c r="C5" s="1" t="s">
        <v>91</v>
      </c>
      <c r="D5" s="1">
        <v>6500</v>
      </c>
    </row>
    <row r="6" spans="1:9">
      <c r="A6" s="19">
        <v>43743</v>
      </c>
      <c r="B6" s="1" t="s">
        <v>88</v>
      </c>
      <c r="C6" s="1" t="s">
        <v>92</v>
      </c>
      <c r="D6" s="1">
        <v>4500</v>
      </c>
      <c r="E6" s="86" t="s">
        <v>284</v>
      </c>
      <c r="F6" t="s">
        <v>186</v>
      </c>
      <c r="G6" s="20" t="s">
        <v>91</v>
      </c>
      <c r="I6" s="86">
        <v>3</v>
      </c>
    </row>
    <row r="7" spans="1:9">
      <c r="A7" s="19">
        <v>43744</v>
      </c>
      <c r="B7" s="1" t="s">
        <v>90</v>
      </c>
      <c r="C7" s="1" t="s">
        <v>91</v>
      </c>
      <c r="D7" s="1">
        <v>6000</v>
      </c>
      <c r="E7" s="86" t="s">
        <v>285</v>
      </c>
      <c r="F7" s="1" t="s">
        <v>88</v>
      </c>
      <c r="G7">
        <f>COUNTIFS(B:B,F7,C:C,G6,D:D,F6)</f>
        <v>2</v>
      </c>
      <c r="I7" s="86" t="s">
        <v>283</v>
      </c>
    </row>
    <row r="8" spans="1:9">
      <c r="A8" s="19">
        <v>43745</v>
      </c>
      <c r="B8" s="1" t="s">
        <v>89</v>
      </c>
      <c r="C8" s="1" t="s">
        <v>92</v>
      </c>
      <c r="D8" s="1">
        <v>4500</v>
      </c>
      <c r="G8" t="s">
        <v>286</v>
      </c>
    </row>
    <row r="9" spans="1:9">
      <c r="A9" s="19">
        <v>43746</v>
      </c>
      <c r="B9" s="1" t="s">
        <v>89</v>
      </c>
      <c r="C9" s="1" t="s">
        <v>92</v>
      </c>
      <c r="D9" s="1">
        <v>600</v>
      </c>
    </row>
    <row r="10" spans="1:9">
      <c r="A10" s="19">
        <v>43747</v>
      </c>
      <c r="B10" s="1" t="s">
        <v>90</v>
      </c>
      <c r="C10" s="1" t="s">
        <v>91</v>
      </c>
      <c r="D10" s="1">
        <v>1500</v>
      </c>
    </row>
    <row r="11" spans="1:9">
      <c r="A11" s="19">
        <v>43748</v>
      </c>
      <c r="B11" s="1" t="s">
        <v>90</v>
      </c>
      <c r="C11" s="1" t="s">
        <v>91</v>
      </c>
      <c r="D11" s="1">
        <v>1450</v>
      </c>
    </row>
    <row r="12" spans="1:9">
      <c r="A12" s="19">
        <v>43749</v>
      </c>
      <c r="B12" s="1" t="s">
        <v>88</v>
      </c>
      <c r="C12" s="1" t="s">
        <v>92</v>
      </c>
      <c r="D12" s="1">
        <v>650</v>
      </c>
    </row>
    <row r="13" spans="1:9">
      <c r="A13" s="19">
        <v>43750</v>
      </c>
      <c r="B13" s="1" t="s">
        <v>90</v>
      </c>
      <c r="C13" s="1" t="s">
        <v>91</v>
      </c>
      <c r="D13" s="1">
        <v>2560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3"/>
  <sheetViews>
    <sheetView zoomScale="154" zoomScaleNormal="154" workbookViewId="0">
      <selection activeCell="F1" sqref="F1"/>
    </sheetView>
  </sheetViews>
  <sheetFormatPr defaultRowHeight="15"/>
  <cols>
    <col min="1" max="1" width="13.85546875" bestFit="1" customWidth="1"/>
    <col min="2" max="2" width="17" bestFit="1" customWidth="1"/>
    <col min="3" max="3" width="11.28515625" bestFit="1" customWidth="1"/>
    <col min="5" max="5" width="17.85546875" customWidth="1"/>
    <col min="8" max="8" width="32.7109375" customWidth="1"/>
  </cols>
  <sheetData>
    <row r="1" spans="1:8">
      <c r="A1" s="17" t="s">
        <v>67</v>
      </c>
      <c r="B1" s="17" t="s">
        <v>68</v>
      </c>
      <c r="C1" s="18" t="s">
        <v>69</v>
      </c>
      <c r="E1" s="1" t="s">
        <v>71</v>
      </c>
      <c r="F1">
        <f>SUMIF(B:B,E1,C:C)</f>
        <v>104000</v>
      </c>
      <c r="H1" t="s">
        <v>287</v>
      </c>
    </row>
    <row r="2" spans="1:8">
      <c r="A2" s="1" t="s">
        <v>70</v>
      </c>
      <c r="B2" s="1" t="s">
        <v>71</v>
      </c>
      <c r="C2" s="16">
        <v>15000</v>
      </c>
      <c r="E2" s="1" t="s">
        <v>73</v>
      </c>
      <c r="F2">
        <f t="shared" ref="F2:F3" si="0">SUMIF(B:B,E2,C:C)</f>
        <v>102000</v>
      </c>
      <c r="H2" t="s">
        <v>288</v>
      </c>
    </row>
    <row r="3" spans="1:8">
      <c r="A3" s="1" t="s">
        <v>72</v>
      </c>
      <c r="B3" s="1" t="s">
        <v>73</v>
      </c>
      <c r="C3" s="16">
        <v>15000</v>
      </c>
      <c r="E3" s="1" t="s">
        <v>75</v>
      </c>
      <c r="F3">
        <f t="shared" si="0"/>
        <v>49000</v>
      </c>
      <c r="H3" t="s">
        <v>289</v>
      </c>
    </row>
    <row r="4" spans="1:8">
      <c r="A4" s="1" t="s">
        <v>74</v>
      </c>
      <c r="B4" s="1" t="s">
        <v>75</v>
      </c>
      <c r="C4" s="16">
        <v>12000</v>
      </c>
      <c r="H4" t="s">
        <v>290</v>
      </c>
    </row>
    <row r="5" spans="1:8">
      <c r="A5" s="1" t="s">
        <v>76</v>
      </c>
      <c r="B5" s="1" t="s">
        <v>71</v>
      </c>
      <c r="C5" s="16">
        <v>12000</v>
      </c>
      <c r="E5" s="50" t="s">
        <v>293</v>
      </c>
      <c r="H5" t="s">
        <v>291</v>
      </c>
    </row>
    <row r="6" spans="1:8">
      <c r="A6" s="1" t="s">
        <v>77</v>
      </c>
      <c r="B6" s="1" t="s">
        <v>71</v>
      </c>
      <c r="C6" s="16">
        <v>15000</v>
      </c>
      <c r="E6" t="s">
        <v>294</v>
      </c>
      <c r="H6" t="s">
        <v>292</v>
      </c>
    </row>
    <row r="7" spans="1:8">
      <c r="A7" s="1" t="s">
        <v>78</v>
      </c>
      <c r="B7" s="1" t="s">
        <v>73</v>
      </c>
      <c r="C7" s="16">
        <v>12000</v>
      </c>
      <c r="E7" s="87">
        <f>C2+C5+C6+C9+C10+C13</f>
        <v>104000</v>
      </c>
    </row>
    <row r="8" spans="1:8">
      <c r="A8" s="1" t="s">
        <v>79</v>
      </c>
      <c r="B8" s="1" t="s">
        <v>75</v>
      </c>
      <c r="C8" s="16">
        <v>12000</v>
      </c>
    </row>
    <row r="9" spans="1:8">
      <c r="A9" s="1" t="s">
        <v>80</v>
      </c>
      <c r="B9" s="1" t="s">
        <v>71</v>
      </c>
      <c r="C9" s="16">
        <v>15000</v>
      </c>
    </row>
    <row r="10" spans="1:8">
      <c r="A10" s="1" t="s">
        <v>81</v>
      </c>
      <c r="B10" s="1" t="s">
        <v>71</v>
      </c>
      <c r="C10" s="16">
        <v>12000</v>
      </c>
    </row>
    <row r="11" spans="1:8">
      <c r="A11" s="1" t="s">
        <v>82</v>
      </c>
      <c r="B11" s="1" t="s">
        <v>73</v>
      </c>
      <c r="C11" s="16">
        <v>75000</v>
      </c>
    </row>
    <row r="12" spans="1:8">
      <c r="A12" s="1" t="s">
        <v>83</v>
      </c>
      <c r="B12" s="1" t="s">
        <v>75</v>
      </c>
      <c r="C12" s="15">
        <v>25000</v>
      </c>
    </row>
    <row r="13" spans="1:8">
      <c r="A13" s="1" t="s">
        <v>84</v>
      </c>
      <c r="B13" s="1" t="s">
        <v>71</v>
      </c>
      <c r="C13" s="15">
        <v>35000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3"/>
  <sheetViews>
    <sheetView zoomScale="200" zoomScaleNormal="200" workbookViewId="0">
      <selection activeCell="G2" sqref="G2:H4"/>
    </sheetView>
  </sheetViews>
  <sheetFormatPr defaultRowHeight="15"/>
  <cols>
    <col min="1" max="1" width="10.42578125" bestFit="1" customWidth="1"/>
    <col min="2" max="2" width="14" bestFit="1" customWidth="1"/>
    <col min="3" max="3" width="11.5703125" customWidth="1"/>
    <col min="6" max="6" width="10.28515625" bestFit="1" customWidth="1"/>
    <col min="7" max="7" width="9.85546875" customWidth="1"/>
  </cols>
  <sheetData>
    <row r="1" spans="1:8">
      <c r="A1" s="20" t="s">
        <v>85</v>
      </c>
      <c r="B1" s="20" t="s">
        <v>86</v>
      </c>
      <c r="C1" s="20" t="s">
        <v>87</v>
      </c>
      <c r="D1" s="20" t="s">
        <v>66</v>
      </c>
      <c r="F1" s="21" t="s">
        <v>93</v>
      </c>
      <c r="G1" s="20" t="s">
        <v>91</v>
      </c>
      <c r="H1" s="20" t="s">
        <v>92</v>
      </c>
    </row>
    <row r="2" spans="1:8">
      <c r="A2" s="19">
        <v>43739</v>
      </c>
      <c r="B2" s="1" t="s">
        <v>88</v>
      </c>
      <c r="C2" s="1" t="s">
        <v>91</v>
      </c>
      <c r="D2" s="1">
        <v>5000</v>
      </c>
      <c r="F2" s="1" t="s">
        <v>88</v>
      </c>
      <c r="G2" s="1">
        <f>SUMIFS($D:$D,$B:$B,$F2,$C:$C,G$1)</f>
        <v>11500</v>
      </c>
      <c r="H2" s="1">
        <f>SUMIFS($D:$D,$B:$B,$F2,$C:$C,H$1)</f>
        <v>5150</v>
      </c>
    </row>
    <row r="3" spans="1:8">
      <c r="A3" s="19">
        <v>43740</v>
      </c>
      <c r="B3" s="1" t="s">
        <v>89</v>
      </c>
      <c r="C3" s="1" t="s">
        <v>92</v>
      </c>
      <c r="D3" s="1">
        <v>6000</v>
      </c>
      <c r="F3" s="1" t="s">
        <v>89</v>
      </c>
      <c r="G3" s="1">
        <f t="shared" ref="G3:H4" si="0">SUMIFS($D:$D,$B:$B,$F3,$C:$C,G$1)</f>
        <v>6500</v>
      </c>
      <c r="H3" s="1">
        <f t="shared" si="0"/>
        <v>11100</v>
      </c>
    </row>
    <row r="4" spans="1:8">
      <c r="A4" s="19">
        <v>43741</v>
      </c>
      <c r="B4" s="1" t="s">
        <v>88</v>
      </c>
      <c r="C4" s="1" t="s">
        <v>91</v>
      </c>
      <c r="D4" s="1">
        <v>6500</v>
      </c>
      <c r="F4" s="1" t="s">
        <v>178</v>
      </c>
      <c r="G4" s="1">
        <f t="shared" si="0"/>
        <v>11510</v>
      </c>
      <c r="H4" s="1">
        <f t="shared" si="0"/>
        <v>0</v>
      </c>
    </row>
    <row r="5" spans="1:8">
      <c r="A5" s="19">
        <v>43742</v>
      </c>
      <c r="B5" s="1" t="s">
        <v>89</v>
      </c>
      <c r="C5" s="1" t="s">
        <v>91</v>
      </c>
      <c r="D5" s="1">
        <v>6500</v>
      </c>
    </row>
    <row r="6" spans="1:8">
      <c r="A6" s="19">
        <v>43743</v>
      </c>
      <c r="B6" s="1" t="s">
        <v>88</v>
      </c>
      <c r="C6" s="1" t="s">
        <v>92</v>
      </c>
      <c r="D6" s="1">
        <v>4500</v>
      </c>
    </row>
    <row r="7" spans="1:8">
      <c r="A7" s="19">
        <v>43744</v>
      </c>
      <c r="B7" s="1" t="s">
        <v>90</v>
      </c>
      <c r="C7" s="1" t="s">
        <v>91</v>
      </c>
      <c r="D7" s="1">
        <v>6000</v>
      </c>
    </row>
    <row r="8" spans="1:8">
      <c r="A8" s="19">
        <v>43745</v>
      </c>
      <c r="B8" s="1" t="s">
        <v>89</v>
      </c>
      <c r="C8" s="1" t="s">
        <v>92</v>
      </c>
      <c r="D8" s="1">
        <v>4500</v>
      </c>
    </row>
    <row r="9" spans="1:8">
      <c r="A9" s="19">
        <v>43746</v>
      </c>
      <c r="B9" s="1" t="s">
        <v>89</v>
      </c>
      <c r="C9" s="1" t="s">
        <v>92</v>
      </c>
      <c r="D9" s="1">
        <v>600</v>
      </c>
    </row>
    <row r="10" spans="1:8">
      <c r="A10" s="19">
        <v>43747</v>
      </c>
      <c r="B10" s="1" t="s">
        <v>90</v>
      </c>
      <c r="C10" s="1" t="s">
        <v>91</v>
      </c>
      <c r="D10" s="1">
        <v>1500</v>
      </c>
    </row>
    <row r="11" spans="1:8">
      <c r="A11" s="19">
        <v>43748</v>
      </c>
      <c r="B11" s="1" t="s">
        <v>90</v>
      </c>
      <c r="C11" s="1" t="s">
        <v>91</v>
      </c>
      <c r="D11" s="1">
        <v>1450</v>
      </c>
    </row>
    <row r="12" spans="1:8">
      <c r="A12" s="19">
        <v>43749</v>
      </c>
      <c r="B12" s="1" t="s">
        <v>88</v>
      </c>
      <c r="C12" s="1" t="s">
        <v>92</v>
      </c>
      <c r="D12" s="1">
        <v>650</v>
      </c>
    </row>
    <row r="13" spans="1:8">
      <c r="A13" s="19">
        <v>43750</v>
      </c>
      <c r="B13" s="1" t="s">
        <v>90</v>
      </c>
      <c r="C13" s="1" t="s">
        <v>91</v>
      </c>
      <c r="D13" s="1">
        <v>2560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3"/>
  <sheetViews>
    <sheetView topLeftCell="A2" zoomScale="175" zoomScaleNormal="175" workbookViewId="0">
      <selection activeCell="H12" sqref="H12"/>
    </sheetView>
  </sheetViews>
  <sheetFormatPr defaultRowHeight="15"/>
  <cols>
    <col min="1" max="1" width="11" bestFit="1" customWidth="1"/>
    <col min="2" max="2" width="14" bestFit="1" customWidth="1"/>
    <col min="3" max="3" width="11.5703125" customWidth="1"/>
    <col min="6" max="6" width="11.28515625" customWidth="1"/>
  </cols>
  <sheetData>
    <row r="1" spans="1:10">
      <c r="A1" s="20" t="s">
        <v>85</v>
      </c>
      <c r="B1" s="20" t="s">
        <v>86</v>
      </c>
      <c r="C1" s="20" t="s">
        <v>87</v>
      </c>
      <c r="D1" s="20" t="s">
        <v>66</v>
      </c>
      <c r="F1" s="21" t="s">
        <v>93</v>
      </c>
      <c r="G1" s="20" t="s">
        <v>91</v>
      </c>
      <c r="H1" s="20" t="s">
        <v>92</v>
      </c>
    </row>
    <row r="2" spans="1:10">
      <c r="A2" s="19">
        <v>43739</v>
      </c>
      <c r="B2" s="1" t="s">
        <v>88</v>
      </c>
      <c r="C2" s="1" t="s">
        <v>91</v>
      </c>
      <c r="D2" s="1">
        <v>5000</v>
      </c>
      <c r="F2" s="1" t="s">
        <v>88</v>
      </c>
      <c r="G2" s="1">
        <f>AVERAGEIFS($D:$D,$B:$B,$F2,$C:$C,G$1)</f>
        <v>4750</v>
      </c>
      <c r="H2" s="1">
        <f>AVERAGEIFS($D:$D,$B:$B,$F2,$C:$C,H$1)</f>
        <v>2575</v>
      </c>
      <c r="J2" s="1"/>
    </row>
    <row r="3" spans="1:10">
      <c r="A3" s="19">
        <v>43740</v>
      </c>
      <c r="B3" s="1" t="s">
        <v>89</v>
      </c>
      <c r="C3" s="1" t="s">
        <v>92</v>
      </c>
      <c r="D3" s="1">
        <v>6000</v>
      </c>
      <c r="F3" s="1" t="s">
        <v>89</v>
      </c>
      <c r="G3" s="1">
        <f t="shared" ref="G3:H4" si="0">AVERAGEIFS($D:$D,$B:$B,$F3,$C:$C,G$1)</f>
        <v>6500</v>
      </c>
      <c r="H3" s="1">
        <f t="shared" si="0"/>
        <v>3700</v>
      </c>
      <c r="J3" s="1"/>
    </row>
    <row r="4" spans="1:10">
      <c r="A4" s="19">
        <v>43741</v>
      </c>
      <c r="B4" s="1" t="s">
        <v>88</v>
      </c>
      <c r="C4" s="1" t="s">
        <v>91</v>
      </c>
      <c r="D4" s="1">
        <v>4500</v>
      </c>
      <c r="F4" s="1" t="s">
        <v>178</v>
      </c>
      <c r="G4" s="1">
        <f t="shared" si="0"/>
        <v>1836.6666666666667</v>
      </c>
      <c r="H4" s="1">
        <f t="shared" si="0"/>
        <v>6000</v>
      </c>
      <c r="J4" s="1"/>
    </row>
    <row r="5" spans="1:10">
      <c r="A5" s="19">
        <v>43742</v>
      </c>
      <c r="B5" s="1" t="s">
        <v>89</v>
      </c>
      <c r="C5" s="1" t="s">
        <v>91</v>
      </c>
      <c r="D5" s="1">
        <v>6500</v>
      </c>
    </row>
    <row r="6" spans="1:10">
      <c r="A6" s="19">
        <v>43743</v>
      </c>
      <c r="B6" s="1" t="s">
        <v>88</v>
      </c>
      <c r="C6" s="1" t="s">
        <v>92</v>
      </c>
      <c r="D6" s="1">
        <v>4500</v>
      </c>
      <c r="F6" s="1" t="s">
        <v>88</v>
      </c>
      <c r="G6" s="1">
        <f>AVERAGEIF(B:B,F6,D:D)</f>
        <v>3662.5</v>
      </c>
    </row>
    <row r="7" spans="1:10">
      <c r="A7" s="19">
        <v>43744</v>
      </c>
      <c r="B7" s="1" t="s">
        <v>90</v>
      </c>
      <c r="C7" s="1" t="s">
        <v>92</v>
      </c>
      <c r="D7" s="1">
        <v>6000</v>
      </c>
      <c r="F7" s="1" t="s">
        <v>89</v>
      </c>
      <c r="G7" s="1">
        <f t="shared" ref="G7:G8" si="1">AVERAGEIF(B:B,F7,D:D)</f>
        <v>4400</v>
      </c>
    </row>
    <row r="8" spans="1:10">
      <c r="A8" s="19">
        <v>43745</v>
      </c>
      <c r="B8" s="1" t="s">
        <v>89</v>
      </c>
      <c r="C8" s="1" t="s">
        <v>92</v>
      </c>
      <c r="D8" s="1">
        <v>4500</v>
      </c>
      <c r="F8" s="1" t="s">
        <v>178</v>
      </c>
      <c r="G8" s="1">
        <f t="shared" si="1"/>
        <v>2877.5</v>
      </c>
    </row>
    <row r="9" spans="1:10">
      <c r="A9" s="19">
        <v>43746</v>
      </c>
      <c r="B9" s="1" t="s">
        <v>89</v>
      </c>
      <c r="C9" s="1" t="s">
        <v>92</v>
      </c>
      <c r="D9" s="1">
        <v>600</v>
      </c>
    </row>
    <row r="10" spans="1:10">
      <c r="A10" s="19">
        <v>43747</v>
      </c>
      <c r="B10" s="1" t="s">
        <v>90</v>
      </c>
      <c r="C10" s="1" t="s">
        <v>91</v>
      </c>
      <c r="D10" s="1">
        <v>1500</v>
      </c>
    </row>
    <row r="11" spans="1:10">
      <c r="A11" s="19">
        <v>43748</v>
      </c>
      <c r="B11" s="1" t="s">
        <v>90</v>
      </c>
      <c r="C11" s="1" t="s">
        <v>91</v>
      </c>
      <c r="D11" s="1">
        <v>1450</v>
      </c>
    </row>
    <row r="12" spans="1:10">
      <c r="A12" s="19">
        <v>43749</v>
      </c>
      <c r="B12" s="1" t="s">
        <v>88</v>
      </c>
      <c r="C12" s="1" t="s">
        <v>92</v>
      </c>
      <c r="D12" s="1">
        <v>650</v>
      </c>
    </row>
    <row r="13" spans="1:10">
      <c r="A13" s="19">
        <v>43750</v>
      </c>
      <c r="B13" s="1" t="s">
        <v>90</v>
      </c>
      <c r="C13" s="1" t="s">
        <v>91</v>
      </c>
      <c r="D13" s="1">
        <v>2560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21"/>
  <sheetViews>
    <sheetView zoomScaleNormal="100" workbookViewId="0">
      <selection activeCell="F3" sqref="F3"/>
    </sheetView>
  </sheetViews>
  <sheetFormatPr defaultRowHeight="15"/>
  <cols>
    <col min="1" max="1" width="8.85546875" style="4"/>
    <col min="2" max="2" width="15.85546875" style="4" customWidth="1"/>
    <col min="3" max="4" width="10.42578125" style="4" customWidth="1"/>
    <col min="5" max="5" width="12.85546875" customWidth="1"/>
    <col min="8" max="8" width="25.85546875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174</v>
      </c>
      <c r="E1" s="43" t="s">
        <v>175</v>
      </c>
    </row>
    <row r="2" spans="1:7">
      <c r="A2" s="2">
        <v>1</v>
      </c>
      <c r="B2" s="2" t="s">
        <v>3</v>
      </c>
      <c r="C2" s="2">
        <v>29</v>
      </c>
      <c r="D2" s="2">
        <v>29</v>
      </c>
      <c r="E2">
        <f t="array" ref="E2:E10">FREQUENCY(C2:C21,D2:D10)</f>
        <v>4</v>
      </c>
      <c r="F2">
        <f>COUNTIF(C:C,D2)</f>
        <v>4</v>
      </c>
      <c r="G2">
        <f>COUNTIF(C:C,23)</f>
        <v>2</v>
      </c>
    </row>
    <row r="3" spans="1:7">
      <c r="A3" s="2">
        <v>2</v>
      </c>
      <c r="B3" s="2" t="s">
        <v>4</v>
      </c>
      <c r="C3" s="2">
        <v>29</v>
      </c>
      <c r="D3" s="2">
        <v>20</v>
      </c>
      <c r="E3">
        <v>3</v>
      </c>
      <c r="F3">
        <f t="shared" ref="F3:F10" si="0">COUNTIF(C:C,D3)</f>
        <v>3</v>
      </c>
    </row>
    <row r="4" spans="1:7">
      <c r="A4" s="2">
        <v>3</v>
      </c>
      <c r="B4" s="2" t="s">
        <v>5</v>
      </c>
      <c r="C4" s="2">
        <v>33</v>
      </c>
      <c r="D4" s="2">
        <v>33</v>
      </c>
      <c r="E4">
        <v>2</v>
      </c>
      <c r="F4">
        <f t="shared" si="0"/>
        <v>2</v>
      </c>
    </row>
    <row r="5" spans="1:7">
      <c r="A5" s="2">
        <v>4</v>
      </c>
      <c r="B5" s="2" t="s">
        <v>6</v>
      </c>
      <c r="C5" s="2">
        <v>20</v>
      </c>
      <c r="D5" s="2">
        <v>21</v>
      </c>
      <c r="E5">
        <v>2</v>
      </c>
      <c r="F5">
        <f t="shared" si="0"/>
        <v>2</v>
      </c>
    </row>
    <row r="6" spans="1:7">
      <c r="A6" s="2">
        <v>5</v>
      </c>
      <c r="B6" s="2" t="s">
        <v>7</v>
      </c>
      <c r="C6" s="2">
        <v>29</v>
      </c>
      <c r="D6" s="2">
        <v>34</v>
      </c>
      <c r="E6">
        <v>1</v>
      </c>
      <c r="F6">
        <f t="shared" si="0"/>
        <v>1</v>
      </c>
    </row>
    <row r="7" spans="1:7">
      <c r="A7" s="2">
        <v>6</v>
      </c>
      <c r="B7" s="2" t="s">
        <v>8</v>
      </c>
      <c r="C7" s="2">
        <v>33</v>
      </c>
      <c r="D7" s="2">
        <v>28</v>
      </c>
      <c r="E7">
        <v>2</v>
      </c>
      <c r="F7">
        <f t="shared" si="0"/>
        <v>2</v>
      </c>
    </row>
    <row r="8" spans="1:7">
      <c r="A8" s="2">
        <v>7</v>
      </c>
      <c r="B8" s="2" t="s">
        <v>9</v>
      </c>
      <c r="C8" s="2">
        <v>21</v>
      </c>
      <c r="D8" s="2">
        <v>27</v>
      </c>
      <c r="E8">
        <v>3</v>
      </c>
      <c r="F8">
        <f t="shared" si="0"/>
        <v>3</v>
      </c>
    </row>
    <row r="9" spans="1:7">
      <c r="A9" s="2">
        <v>8</v>
      </c>
      <c r="B9" s="2" t="s">
        <v>12</v>
      </c>
      <c r="C9" s="2">
        <v>29</v>
      </c>
      <c r="D9" s="2">
        <v>22</v>
      </c>
      <c r="E9">
        <v>1</v>
      </c>
      <c r="F9">
        <f t="shared" si="0"/>
        <v>1</v>
      </c>
    </row>
    <row r="10" spans="1:7">
      <c r="A10" s="2">
        <v>9</v>
      </c>
      <c r="B10" s="2" t="s">
        <v>10</v>
      </c>
      <c r="C10" s="2">
        <v>34</v>
      </c>
      <c r="D10" s="2">
        <v>23</v>
      </c>
      <c r="E10">
        <v>2</v>
      </c>
      <c r="F10">
        <f t="shared" si="0"/>
        <v>2</v>
      </c>
    </row>
    <row r="11" spans="1:7">
      <c r="A11" s="2">
        <v>10</v>
      </c>
      <c r="B11" s="2" t="s">
        <v>13</v>
      </c>
      <c r="C11" s="2">
        <v>28</v>
      </c>
      <c r="D11"/>
    </row>
    <row r="12" spans="1:7">
      <c r="A12" s="2">
        <v>11</v>
      </c>
      <c r="B12" s="2" t="s">
        <v>14</v>
      </c>
      <c r="C12" s="2">
        <v>20</v>
      </c>
      <c r="D12"/>
    </row>
    <row r="13" spans="1:7">
      <c r="A13" s="2">
        <v>12</v>
      </c>
      <c r="B13" s="2" t="s">
        <v>15</v>
      </c>
      <c r="C13" s="2">
        <v>27</v>
      </c>
      <c r="D13"/>
    </row>
    <row r="14" spans="1:7">
      <c r="A14" s="2">
        <v>13</v>
      </c>
      <c r="B14" s="2" t="s">
        <v>16</v>
      </c>
      <c r="C14" s="2">
        <v>21</v>
      </c>
      <c r="D14"/>
    </row>
    <row r="15" spans="1:7">
      <c r="A15" s="2">
        <v>14</v>
      </c>
      <c r="B15" s="2" t="s">
        <v>17</v>
      </c>
      <c r="C15" s="2">
        <v>28</v>
      </c>
      <c r="D15"/>
    </row>
    <row r="16" spans="1:7">
      <c r="A16" s="2">
        <v>15</v>
      </c>
      <c r="B16" s="2" t="s">
        <v>18</v>
      </c>
      <c r="C16" s="2">
        <v>27</v>
      </c>
      <c r="D16"/>
    </row>
    <row r="17" spans="1:4">
      <c r="A17" s="2">
        <v>16</v>
      </c>
      <c r="B17" s="2" t="s">
        <v>19</v>
      </c>
      <c r="C17" s="2">
        <v>20</v>
      </c>
      <c r="D17"/>
    </row>
    <row r="18" spans="1:4">
      <c r="A18" s="2">
        <v>17</v>
      </c>
      <c r="B18" s="2" t="s">
        <v>21</v>
      </c>
      <c r="C18" s="2">
        <v>22</v>
      </c>
      <c r="D18"/>
    </row>
    <row r="19" spans="1:4">
      <c r="A19" s="2">
        <v>18</v>
      </c>
      <c r="B19" s="2" t="s">
        <v>20</v>
      </c>
      <c r="C19" s="2">
        <v>23</v>
      </c>
      <c r="D19"/>
    </row>
    <row r="20" spans="1:4">
      <c r="A20" s="2">
        <v>19</v>
      </c>
      <c r="B20" s="2" t="s">
        <v>22</v>
      </c>
      <c r="C20" s="2">
        <v>27</v>
      </c>
      <c r="D20"/>
    </row>
    <row r="21" spans="1:4">
      <c r="A21" s="2">
        <v>20</v>
      </c>
      <c r="B21" s="2" t="s">
        <v>11</v>
      </c>
      <c r="C21" s="2">
        <v>23</v>
      </c>
      <c r="D21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9"/>
  <sheetViews>
    <sheetView zoomScale="200" zoomScaleNormal="200" workbookViewId="0">
      <selection activeCell="H3" sqref="H3"/>
    </sheetView>
  </sheetViews>
  <sheetFormatPr defaultRowHeight="15"/>
  <cols>
    <col min="1" max="1" width="14.5703125" customWidth="1"/>
    <col min="3" max="3" width="11.28515625" customWidth="1"/>
    <col min="4" max="4" width="9.85546875" customWidth="1"/>
    <col min="5" max="5" width="10.28515625" customWidth="1"/>
    <col min="7" max="7" width="11.85546875" customWidth="1"/>
    <col min="8" max="8" width="10.85546875" customWidth="1"/>
  </cols>
  <sheetData>
    <row r="1" spans="1:8">
      <c r="A1" s="92" t="s">
        <v>35</v>
      </c>
      <c r="B1" s="92"/>
      <c r="C1" s="92"/>
      <c r="D1" s="92"/>
      <c r="E1" s="92"/>
      <c r="G1" s="91" t="s">
        <v>34</v>
      </c>
      <c r="H1" s="91"/>
    </row>
    <row r="2" spans="1:8">
      <c r="A2" s="3" t="s">
        <v>23</v>
      </c>
      <c r="B2" s="3" t="s">
        <v>24</v>
      </c>
      <c r="C2" s="3" t="s">
        <v>25</v>
      </c>
      <c r="D2" s="3" t="s">
        <v>26</v>
      </c>
      <c r="E2" s="3" t="s">
        <v>27</v>
      </c>
      <c r="G2" s="3" t="s">
        <v>33</v>
      </c>
      <c r="H2" s="1" t="s">
        <v>26</v>
      </c>
    </row>
    <row r="3" spans="1:8">
      <c r="A3" s="5">
        <v>0.29166666666666669</v>
      </c>
      <c r="B3" s="2" t="s">
        <v>28</v>
      </c>
      <c r="C3" s="2" t="s">
        <v>29</v>
      </c>
      <c r="D3" s="2" t="s">
        <v>30</v>
      </c>
      <c r="E3" s="2" t="s">
        <v>31</v>
      </c>
      <c r="G3" s="6">
        <v>0.33333333333333298</v>
      </c>
      <c r="H3" s="1" t="str">
        <f>INDEX(A2:E9,MATCH(G3,A2:A9,0),MATCH(H2,A2:E2,0))</f>
        <v>Excel</v>
      </c>
    </row>
    <row r="4" spans="1:8">
      <c r="A4" s="5">
        <v>0.33333333333333298</v>
      </c>
      <c r="B4" s="2" t="s">
        <v>29</v>
      </c>
      <c r="C4" s="2" t="s">
        <v>32</v>
      </c>
      <c r="D4" s="2" t="s">
        <v>29</v>
      </c>
      <c r="E4" s="2" t="s">
        <v>30</v>
      </c>
    </row>
    <row r="5" spans="1:8">
      <c r="A5" s="5">
        <v>0.375</v>
      </c>
      <c r="B5" s="2" t="s">
        <v>31</v>
      </c>
      <c r="C5" s="2" t="s">
        <v>30</v>
      </c>
      <c r="D5" s="2" t="s">
        <v>30</v>
      </c>
      <c r="E5" s="2" t="s">
        <v>29</v>
      </c>
      <c r="F5" s="44" t="s">
        <v>177</v>
      </c>
    </row>
    <row r="6" spans="1:8">
      <c r="A6" s="5">
        <v>0.41666666666666702</v>
      </c>
      <c r="B6" s="2" t="s">
        <v>30</v>
      </c>
      <c r="C6" s="2" t="s">
        <v>28</v>
      </c>
      <c r="D6" s="2" t="s">
        <v>31</v>
      </c>
      <c r="E6" s="2" t="s">
        <v>28</v>
      </c>
      <c r="F6" s="44" t="s">
        <v>176</v>
      </c>
    </row>
    <row r="7" spans="1:8">
      <c r="A7" s="5">
        <v>0.45833333333333298</v>
      </c>
      <c r="B7" s="2" t="s">
        <v>28</v>
      </c>
      <c r="C7" s="2" t="s">
        <v>29</v>
      </c>
      <c r="D7" s="2" t="s">
        <v>28</v>
      </c>
      <c r="E7" s="2" t="s">
        <v>29</v>
      </c>
    </row>
    <row r="8" spans="1:8">
      <c r="A8" s="5">
        <v>0.5</v>
      </c>
      <c r="B8" s="2" t="s">
        <v>29</v>
      </c>
      <c r="C8" s="2" t="s">
        <v>30</v>
      </c>
      <c r="D8" s="2" t="s">
        <v>29</v>
      </c>
      <c r="E8" s="2" t="s">
        <v>28</v>
      </c>
    </row>
    <row r="9" spans="1:8">
      <c r="A9" s="5">
        <v>0.54166666666666696</v>
      </c>
      <c r="B9" s="2" t="s">
        <v>31</v>
      </c>
      <c r="C9" s="2" t="s">
        <v>32</v>
      </c>
      <c r="D9" s="2" t="s">
        <v>30</v>
      </c>
      <c r="E9" s="2" t="s">
        <v>29</v>
      </c>
    </row>
  </sheetData>
  <mergeCells count="2">
    <mergeCell ref="G1:H1"/>
    <mergeCell ref="A1:E1"/>
  </mergeCells>
  <dataValidations count="2">
    <dataValidation type="list" allowBlank="1" showInputMessage="1" showErrorMessage="1" sqref="G3" xr:uid="{00000000-0002-0000-0700-000000000000}">
      <formula1>$A$3:$A$9</formula1>
    </dataValidation>
    <dataValidation type="list" allowBlank="1" showInputMessage="1" showErrorMessage="1" sqref="H2" xr:uid="{00000000-0002-0000-0700-000001000000}">
      <formula1>$B$2:$E$2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R21"/>
  <sheetViews>
    <sheetView zoomScaleNormal="100" workbookViewId="0">
      <selection activeCell="L7" sqref="L7"/>
    </sheetView>
  </sheetViews>
  <sheetFormatPr defaultRowHeight="15"/>
  <cols>
    <col min="1" max="1" width="7.85546875" bestFit="1" customWidth="1"/>
    <col min="2" max="2" width="27.7109375" bestFit="1" customWidth="1"/>
    <col min="3" max="3" width="11.28515625" style="11" bestFit="1" customWidth="1"/>
    <col min="4" max="4" width="10.5703125" style="9" bestFit="1" customWidth="1"/>
    <col min="5" max="5" width="15.7109375" style="11" bestFit="1" customWidth="1"/>
    <col min="6" max="6" width="12.5703125" style="11" bestFit="1" customWidth="1"/>
    <col min="7" max="7" width="5.42578125" style="11" customWidth="1"/>
    <col min="8" max="8" width="4.7109375" style="11" customWidth="1"/>
    <col min="9" max="9" width="9.85546875" style="11" bestFit="1" customWidth="1"/>
    <col min="11" max="11" width="20.140625" customWidth="1"/>
    <col min="12" max="12" width="11.5703125" customWidth="1"/>
    <col min="13" max="13" width="10" customWidth="1"/>
  </cols>
  <sheetData>
    <row r="1" spans="1:18" ht="18.75">
      <c r="A1" s="12" t="s">
        <v>36</v>
      </c>
      <c r="B1" s="12" t="s">
        <v>37</v>
      </c>
      <c r="C1" s="12" t="s">
        <v>38</v>
      </c>
      <c r="D1" s="13" t="s">
        <v>39</v>
      </c>
      <c r="E1" s="12" t="s">
        <v>40</v>
      </c>
      <c r="F1" s="12" t="s">
        <v>41</v>
      </c>
      <c r="G1" s="12" t="s">
        <v>42</v>
      </c>
      <c r="H1" s="12" t="s">
        <v>43</v>
      </c>
      <c r="I1" s="12" t="s">
        <v>44</v>
      </c>
      <c r="K1" s="14" t="s">
        <v>65</v>
      </c>
      <c r="L1" s="12" t="s">
        <v>38</v>
      </c>
      <c r="M1" s="13" t="s">
        <v>39</v>
      </c>
      <c r="N1" s="12" t="s">
        <v>40</v>
      </c>
      <c r="O1" s="12" t="s">
        <v>41</v>
      </c>
      <c r="P1" s="12" t="s">
        <v>42</v>
      </c>
      <c r="Q1" s="12" t="s">
        <v>43</v>
      </c>
      <c r="R1" s="12" t="s">
        <v>44</v>
      </c>
    </row>
    <row r="2" spans="1:18" ht="18.75">
      <c r="A2" s="7">
        <v>1</v>
      </c>
      <c r="B2" s="7" t="s">
        <v>45</v>
      </c>
      <c r="C2" s="10">
        <v>26</v>
      </c>
      <c r="D2" s="8">
        <v>2370</v>
      </c>
      <c r="E2" s="10">
        <v>2290</v>
      </c>
      <c r="F2" s="10">
        <v>7150</v>
      </c>
      <c r="G2" s="10">
        <v>559</v>
      </c>
      <c r="H2" s="10">
        <v>72</v>
      </c>
      <c r="I2" s="10">
        <v>6519</v>
      </c>
      <c r="K2" s="7" t="s">
        <v>52</v>
      </c>
      <c r="L2">
        <f>LOOKUP($K$2,$B:$B,C:C)</f>
        <v>22</v>
      </c>
      <c r="M2">
        <f>LOOKUP($K$2,$B:$B,D:D)</f>
        <v>2005.3846153846155</v>
      </c>
      <c r="N2">
        <f t="shared" ref="N2:R2" si="0">LOOKUP($K$2,$B:$B,E:E)</f>
        <v>1937.6923076923078</v>
      </c>
      <c r="O2">
        <f t="shared" si="0"/>
        <v>6050</v>
      </c>
      <c r="P2">
        <f t="shared" si="0"/>
        <v>473</v>
      </c>
      <c r="Q2">
        <f t="shared" si="0"/>
        <v>61</v>
      </c>
      <c r="R2">
        <f t="shared" si="0"/>
        <v>5516</v>
      </c>
    </row>
    <row r="3" spans="1:18" ht="18.75">
      <c r="A3" s="7">
        <v>2</v>
      </c>
      <c r="B3" s="7" t="s">
        <v>46</v>
      </c>
      <c r="C3" s="10">
        <v>15</v>
      </c>
      <c r="D3" s="8">
        <v>1315.3846153846155</v>
      </c>
      <c r="E3" s="10">
        <v>1275</v>
      </c>
      <c r="F3" s="10">
        <v>3975</v>
      </c>
      <c r="G3" s="10">
        <v>311</v>
      </c>
      <c r="H3" s="10">
        <v>40</v>
      </c>
      <c r="I3" s="10">
        <v>3624</v>
      </c>
    </row>
    <row r="4" spans="1:18" ht="18.75">
      <c r="A4" s="7">
        <v>3</v>
      </c>
      <c r="B4" s="7" t="s">
        <v>47</v>
      </c>
      <c r="C4" s="10">
        <v>26</v>
      </c>
      <c r="D4" s="8">
        <v>2370</v>
      </c>
      <c r="E4" s="10">
        <v>2290</v>
      </c>
      <c r="F4" s="10">
        <v>7150</v>
      </c>
      <c r="G4" s="10">
        <v>559</v>
      </c>
      <c r="H4" s="10">
        <v>72</v>
      </c>
      <c r="I4" s="10">
        <v>6519</v>
      </c>
      <c r="L4" s="12" t="s">
        <v>36</v>
      </c>
    </row>
    <row r="5" spans="1:18" ht="18.75">
      <c r="A5" s="7">
        <v>4</v>
      </c>
      <c r="B5" s="7" t="s">
        <v>48</v>
      </c>
      <c r="C5" s="10">
        <v>26</v>
      </c>
      <c r="D5" s="8">
        <v>2370</v>
      </c>
      <c r="E5" s="10">
        <v>2290</v>
      </c>
      <c r="F5" s="10">
        <v>7150</v>
      </c>
      <c r="G5" s="10">
        <v>559</v>
      </c>
      <c r="H5" s="10">
        <v>72</v>
      </c>
      <c r="I5" s="10">
        <v>6519</v>
      </c>
      <c r="L5">
        <f>LOOKUP(K2,B:B,A:A)</f>
        <v>8</v>
      </c>
    </row>
    <row r="6" spans="1:18" ht="18.75">
      <c r="A6" s="7">
        <v>5</v>
      </c>
      <c r="B6" s="7" t="s">
        <v>49</v>
      </c>
      <c r="C6" s="10">
        <v>3</v>
      </c>
      <c r="D6" s="8">
        <v>273.46153846153845</v>
      </c>
      <c r="E6" s="10">
        <v>264.23076923076923</v>
      </c>
      <c r="F6" s="10">
        <v>825</v>
      </c>
      <c r="G6" s="10">
        <v>65</v>
      </c>
      <c r="H6" s="10">
        <v>8</v>
      </c>
      <c r="I6" s="10">
        <v>752</v>
      </c>
    </row>
    <row r="7" spans="1:18" ht="18.75">
      <c r="A7" s="7">
        <v>6</v>
      </c>
      <c r="B7" s="7" t="s">
        <v>50</v>
      </c>
      <c r="C7" s="10">
        <v>2</v>
      </c>
      <c r="D7" s="8">
        <v>182.30769230769232</v>
      </c>
      <c r="E7" s="10">
        <v>176.15384615384616</v>
      </c>
      <c r="F7" s="10">
        <v>550</v>
      </c>
      <c r="G7" s="10">
        <v>43</v>
      </c>
      <c r="H7" s="10">
        <v>6</v>
      </c>
      <c r="I7" s="10">
        <v>501</v>
      </c>
    </row>
    <row r="8" spans="1:18" ht="18.75">
      <c r="A8" s="7">
        <v>7</v>
      </c>
      <c r="B8" s="7" t="s">
        <v>51</v>
      </c>
      <c r="C8" s="10">
        <v>22</v>
      </c>
      <c r="D8" s="8">
        <v>2005.3846153846155</v>
      </c>
      <c r="E8" s="10">
        <v>1937.6923076923078</v>
      </c>
      <c r="F8" s="10">
        <v>6050</v>
      </c>
      <c r="G8" s="10">
        <v>473</v>
      </c>
      <c r="H8" s="10">
        <v>61</v>
      </c>
      <c r="I8" s="10">
        <v>5516</v>
      </c>
    </row>
    <row r="9" spans="1:18" ht="18.75">
      <c r="A9" s="7">
        <v>8</v>
      </c>
      <c r="B9" s="7" t="s">
        <v>52</v>
      </c>
      <c r="C9" s="10">
        <v>22</v>
      </c>
      <c r="D9" s="8">
        <v>2005.3846153846155</v>
      </c>
      <c r="E9" s="10">
        <v>1937.6923076923078</v>
      </c>
      <c r="F9" s="10">
        <v>6050</v>
      </c>
      <c r="G9" s="10">
        <v>473</v>
      </c>
      <c r="H9" s="10">
        <v>61</v>
      </c>
      <c r="I9" s="10">
        <v>5516</v>
      </c>
    </row>
    <row r="10" spans="1:18" ht="18.75">
      <c r="A10" s="7">
        <v>9</v>
      </c>
      <c r="B10" s="7" t="s">
        <v>53</v>
      </c>
      <c r="C10" s="10">
        <v>26</v>
      </c>
      <c r="D10" s="8">
        <v>2370</v>
      </c>
      <c r="E10" s="10">
        <v>2290</v>
      </c>
      <c r="F10" s="10">
        <v>7150</v>
      </c>
      <c r="G10" s="10">
        <v>559</v>
      </c>
      <c r="H10" s="10">
        <v>72</v>
      </c>
      <c r="I10" s="10">
        <v>6519</v>
      </c>
    </row>
    <row r="11" spans="1:18" ht="18.75">
      <c r="A11" s="7">
        <v>10</v>
      </c>
      <c r="B11" s="7" t="s">
        <v>54</v>
      </c>
      <c r="C11" s="10">
        <v>26</v>
      </c>
      <c r="D11" s="8">
        <v>2370</v>
      </c>
      <c r="E11" s="10">
        <v>2290</v>
      </c>
      <c r="F11" s="10">
        <v>7150</v>
      </c>
      <c r="G11" s="10">
        <v>559</v>
      </c>
      <c r="H11" s="10">
        <v>72</v>
      </c>
      <c r="I11" s="10">
        <v>6519</v>
      </c>
    </row>
    <row r="12" spans="1:18" ht="18.75">
      <c r="A12" s="7">
        <v>11</v>
      </c>
      <c r="B12" s="7" t="s">
        <v>55</v>
      </c>
      <c r="C12" s="10">
        <v>26</v>
      </c>
      <c r="D12" s="8">
        <v>2370</v>
      </c>
      <c r="E12" s="10">
        <v>2290</v>
      </c>
      <c r="F12" s="10">
        <v>7150</v>
      </c>
      <c r="G12" s="10">
        <v>559</v>
      </c>
      <c r="H12" s="10">
        <v>72</v>
      </c>
      <c r="I12" s="10">
        <v>6519</v>
      </c>
    </row>
    <row r="13" spans="1:18" ht="18.75">
      <c r="A13" s="7">
        <v>12</v>
      </c>
      <c r="B13" s="7" t="s">
        <v>56</v>
      </c>
      <c r="C13" s="10">
        <v>24</v>
      </c>
      <c r="D13" s="8">
        <v>2104.6153846153848</v>
      </c>
      <c r="E13" s="10">
        <v>2040</v>
      </c>
      <c r="F13" s="10">
        <v>6360</v>
      </c>
      <c r="G13" s="10">
        <v>497</v>
      </c>
      <c r="H13" s="10">
        <v>64</v>
      </c>
      <c r="I13" s="10">
        <v>5799</v>
      </c>
    </row>
    <row r="14" spans="1:18" ht="18.75">
      <c r="A14" s="7">
        <v>13</v>
      </c>
      <c r="B14" s="7" t="s">
        <v>57</v>
      </c>
      <c r="C14" s="10">
        <v>26</v>
      </c>
      <c r="D14" s="8">
        <v>2370</v>
      </c>
      <c r="E14" s="10">
        <v>2290</v>
      </c>
      <c r="F14" s="10">
        <v>7150</v>
      </c>
      <c r="G14" s="10">
        <v>559</v>
      </c>
      <c r="H14" s="10">
        <v>72</v>
      </c>
      <c r="I14" s="10">
        <v>6519</v>
      </c>
    </row>
    <row r="15" spans="1:18" ht="18.75">
      <c r="A15" s="7">
        <v>14</v>
      </c>
      <c r="B15" s="7" t="s">
        <v>58</v>
      </c>
      <c r="C15" s="10">
        <v>25</v>
      </c>
      <c r="D15" s="8">
        <v>2278.8461538461538</v>
      </c>
      <c r="E15" s="10">
        <v>2201.9230769230771</v>
      </c>
      <c r="F15" s="10">
        <v>6875</v>
      </c>
      <c r="G15" s="10">
        <v>538</v>
      </c>
      <c r="H15" s="10">
        <v>69</v>
      </c>
      <c r="I15" s="10">
        <v>6268</v>
      </c>
    </row>
    <row r="16" spans="1:18" ht="18.75">
      <c r="A16" s="7">
        <v>15</v>
      </c>
      <c r="B16" s="7" t="s">
        <v>59</v>
      </c>
      <c r="C16" s="10">
        <v>17</v>
      </c>
      <c r="D16" s="8">
        <v>1549.6153846153848</v>
      </c>
      <c r="E16" s="10">
        <v>1497.3076923076924</v>
      </c>
      <c r="F16" s="10">
        <v>4675</v>
      </c>
      <c r="G16" s="10">
        <v>366</v>
      </c>
      <c r="H16" s="10">
        <v>47</v>
      </c>
      <c r="I16" s="10">
        <v>4262</v>
      </c>
    </row>
    <row r="17" spans="1:9" ht="18.75">
      <c r="A17" s="7">
        <v>16</v>
      </c>
      <c r="B17" s="7" t="s">
        <v>60</v>
      </c>
      <c r="C17" s="10">
        <v>17</v>
      </c>
      <c r="D17" s="8">
        <v>1549.6153846153848</v>
      </c>
      <c r="E17" s="10">
        <v>1497.3076923076924</v>
      </c>
      <c r="F17" s="10">
        <v>4675</v>
      </c>
      <c r="G17" s="10">
        <v>366</v>
      </c>
      <c r="H17" s="10">
        <v>47</v>
      </c>
      <c r="I17" s="10">
        <v>4262</v>
      </c>
    </row>
    <row r="18" spans="1:9" ht="18.75">
      <c r="A18" s="7">
        <v>17</v>
      </c>
      <c r="B18" s="7" t="s">
        <v>61</v>
      </c>
      <c r="C18" s="10">
        <v>3</v>
      </c>
      <c r="D18" s="8">
        <v>263.07692307692309</v>
      </c>
      <c r="E18" s="10">
        <v>255</v>
      </c>
      <c r="F18" s="10">
        <v>795</v>
      </c>
      <c r="G18" s="10">
        <v>62</v>
      </c>
      <c r="H18" s="10">
        <v>8</v>
      </c>
      <c r="I18" s="10">
        <v>725</v>
      </c>
    </row>
    <row r="19" spans="1:9" ht="18.75">
      <c r="A19" s="7">
        <v>18</v>
      </c>
      <c r="B19" s="7" t="s">
        <v>62</v>
      </c>
      <c r="C19" s="10">
        <v>19</v>
      </c>
      <c r="D19" s="8">
        <v>1731.9230769230771</v>
      </c>
      <c r="E19" s="10">
        <v>1673.4615384615386</v>
      </c>
      <c r="F19" s="10">
        <v>5225</v>
      </c>
      <c r="G19" s="10">
        <v>409</v>
      </c>
      <c r="H19" s="10">
        <v>52</v>
      </c>
      <c r="I19" s="10">
        <v>4764</v>
      </c>
    </row>
    <row r="20" spans="1:9" ht="18.75">
      <c r="A20" s="7">
        <v>19</v>
      </c>
      <c r="B20" s="7" t="s">
        <v>63</v>
      </c>
      <c r="C20" s="10">
        <v>26</v>
      </c>
      <c r="D20" s="8">
        <v>2370</v>
      </c>
      <c r="E20" s="10">
        <v>2290</v>
      </c>
      <c r="F20" s="10">
        <v>7150</v>
      </c>
      <c r="G20" s="10">
        <v>559</v>
      </c>
      <c r="H20" s="10">
        <v>72</v>
      </c>
      <c r="I20" s="10">
        <v>6519</v>
      </c>
    </row>
    <row r="21" spans="1:9" ht="18.75">
      <c r="A21" s="7">
        <v>20</v>
      </c>
      <c r="B21" s="7" t="s">
        <v>64</v>
      </c>
      <c r="C21" s="10">
        <v>5</v>
      </c>
      <c r="D21" s="8">
        <v>455.76923076923083</v>
      </c>
      <c r="E21" s="10">
        <v>440.38461538461542</v>
      </c>
      <c r="F21" s="10">
        <v>1375</v>
      </c>
      <c r="G21" s="10">
        <v>108</v>
      </c>
      <c r="H21" s="10">
        <v>14</v>
      </c>
      <c r="I21" s="10">
        <v>1253</v>
      </c>
    </row>
  </sheetData>
  <dataValidations count="1">
    <dataValidation type="list" allowBlank="1" showInputMessage="1" showErrorMessage="1" sqref="K2" xr:uid="{00000000-0002-0000-0800-000000000000}">
      <formula1>$B:$B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4"/>
  <sheetViews>
    <sheetView topLeftCell="A7" zoomScale="200" zoomScaleNormal="200" workbookViewId="0">
      <selection activeCell="G15" sqref="G15"/>
    </sheetView>
  </sheetViews>
  <sheetFormatPr defaultRowHeight="15"/>
  <cols>
    <col min="1" max="1" width="11" bestFit="1" customWidth="1"/>
    <col min="2" max="2" width="11.5703125" customWidth="1"/>
  </cols>
  <sheetData>
    <row r="1" spans="1:7">
      <c r="A1" s="20" t="s">
        <v>85</v>
      </c>
      <c r="B1" s="20" t="s">
        <v>180</v>
      </c>
      <c r="C1" s="20" t="s">
        <v>181</v>
      </c>
      <c r="D1" s="20" t="s">
        <v>101</v>
      </c>
      <c r="E1" s="45" t="s">
        <v>93</v>
      </c>
    </row>
    <row r="2" spans="1:7">
      <c r="A2" s="19">
        <v>43739</v>
      </c>
      <c r="B2" s="1" t="s">
        <v>113</v>
      </c>
      <c r="C2" s="1">
        <v>500</v>
      </c>
      <c r="D2" s="1">
        <v>450</v>
      </c>
      <c r="E2">
        <f>C2*D2</f>
        <v>225000</v>
      </c>
      <c r="G2">
        <f>SUMPRODUCT(C2:C13,D2:D13)</f>
        <v>4942500</v>
      </c>
    </row>
    <row r="3" spans="1:7">
      <c r="A3" s="19">
        <v>43740</v>
      </c>
      <c r="B3" s="1" t="s">
        <v>102</v>
      </c>
      <c r="C3" s="1">
        <v>600</v>
      </c>
      <c r="D3" s="1">
        <v>950</v>
      </c>
      <c r="E3">
        <f t="shared" ref="E3:E13" si="0">C3*D3</f>
        <v>570000</v>
      </c>
    </row>
    <row r="4" spans="1:7">
      <c r="A4" s="19">
        <v>43741</v>
      </c>
      <c r="B4" s="1" t="s">
        <v>103</v>
      </c>
      <c r="C4" s="1">
        <v>450</v>
      </c>
      <c r="D4" s="1">
        <v>350</v>
      </c>
      <c r="E4">
        <f t="shared" si="0"/>
        <v>157500</v>
      </c>
    </row>
    <row r="5" spans="1:7">
      <c r="A5" s="19">
        <v>43742</v>
      </c>
      <c r="B5" s="1" t="s">
        <v>104</v>
      </c>
      <c r="C5" s="1">
        <v>350</v>
      </c>
      <c r="D5" s="1">
        <v>350</v>
      </c>
      <c r="E5">
        <f t="shared" si="0"/>
        <v>122500</v>
      </c>
    </row>
    <row r="6" spans="1:7">
      <c r="A6" s="19">
        <v>43743</v>
      </c>
      <c r="B6" s="1" t="s">
        <v>105</v>
      </c>
      <c r="C6" s="1">
        <v>650</v>
      </c>
      <c r="D6" s="1">
        <v>250</v>
      </c>
      <c r="E6">
        <f t="shared" si="0"/>
        <v>162500</v>
      </c>
    </row>
    <row r="7" spans="1:7">
      <c r="A7" s="19">
        <v>43744</v>
      </c>
      <c r="B7" s="1" t="s">
        <v>106</v>
      </c>
      <c r="C7" s="1">
        <v>120</v>
      </c>
      <c r="D7" s="1">
        <v>850</v>
      </c>
      <c r="E7">
        <f t="shared" si="0"/>
        <v>102000</v>
      </c>
    </row>
    <row r="8" spans="1:7">
      <c r="A8" s="19">
        <v>43745</v>
      </c>
      <c r="B8" s="1" t="s">
        <v>107</v>
      </c>
      <c r="C8" s="1">
        <v>250</v>
      </c>
      <c r="D8" s="1">
        <v>3500</v>
      </c>
      <c r="E8">
        <f t="shared" si="0"/>
        <v>875000</v>
      </c>
    </row>
    <row r="9" spans="1:7">
      <c r="A9" s="19">
        <v>43746</v>
      </c>
      <c r="B9" s="1" t="s">
        <v>108</v>
      </c>
      <c r="C9" s="1">
        <v>150</v>
      </c>
      <c r="D9" s="1">
        <v>2500</v>
      </c>
      <c r="E9">
        <f t="shared" si="0"/>
        <v>375000</v>
      </c>
    </row>
    <row r="10" spans="1:7">
      <c r="A10" s="19">
        <v>43747</v>
      </c>
      <c r="B10" s="1" t="s">
        <v>109</v>
      </c>
      <c r="C10" s="1">
        <v>250</v>
      </c>
      <c r="D10" s="1">
        <v>2500</v>
      </c>
      <c r="E10">
        <f t="shared" si="0"/>
        <v>625000</v>
      </c>
    </row>
    <row r="11" spans="1:7">
      <c r="A11" s="19">
        <v>43748</v>
      </c>
      <c r="B11" s="1" t="s">
        <v>110</v>
      </c>
      <c r="C11" s="1">
        <v>360</v>
      </c>
      <c r="D11" s="1">
        <v>3500</v>
      </c>
      <c r="E11">
        <f t="shared" si="0"/>
        <v>1260000</v>
      </c>
    </row>
    <row r="12" spans="1:7">
      <c r="A12" s="19">
        <v>43749</v>
      </c>
      <c r="B12" s="1" t="s">
        <v>111</v>
      </c>
      <c r="C12" s="1">
        <v>120</v>
      </c>
      <c r="D12" s="1">
        <v>1800</v>
      </c>
      <c r="E12">
        <f t="shared" si="0"/>
        <v>216000</v>
      </c>
    </row>
    <row r="13" spans="1:7">
      <c r="A13" s="19">
        <v>43750</v>
      </c>
      <c r="B13" s="1" t="s">
        <v>112</v>
      </c>
      <c r="C13" s="1">
        <v>210</v>
      </c>
      <c r="D13" s="1">
        <v>1200</v>
      </c>
      <c r="E13">
        <f t="shared" si="0"/>
        <v>252000</v>
      </c>
    </row>
    <row r="14" spans="1:7">
      <c r="E14">
        <f>SUM(E2:E13)</f>
        <v>4942500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3"/>
  <sheetViews>
    <sheetView zoomScale="200" zoomScaleNormal="200" workbookViewId="0">
      <selection activeCell="C5" sqref="C5"/>
    </sheetView>
  </sheetViews>
  <sheetFormatPr defaultRowHeight="15"/>
  <cols>
    <col min="1" max="1" width="19.7109375" customWidth="1"/>
    <col min="3" max="3" width="19.7109375" customWidth="1"/>
    <col min="4" max="4" width="12.28515625" bestFit="1" customWidth="1"/>
    <col min="7" max="7" width="18.28515625" bestFit="1" customWidth="1"/>
  </cols>
  <sheetData>
    <row r="1" spans="1:7">
      <c r="A1" s="20" t="s">
        <v>114</v>
      </c>
      <c r="B1" t="s">
        <v>182</v>
      </c>
      <c r="C1" s="20" t="s">
        <v>114</v>
      </c>
      <c r="G1" s="20"/>
    </row>
    <row r="2" spans="1:7">
      <c r="A2" s="2" t="s">
        <v>115</v>
      </c>
      <c r="B2" t="str">
        <f>LEFT(A2,6)</f>
        <v>Mumbai</v>
      </c>
      <c r="C2" s="2" t="s">
        <v>115</v>
      </c>
      <c r="D2" t="str">
        <f>LEFT(C2,FIND(" ",C2,1))</f>
        <v xml:space="preserve">Mumbai </v>
      </c>
      <c r="E2">
        <f>FIND(" ",C2,1)-1</f>
        <v>6</v>
      </c>
      <c r="G2" s="2"/>
    </row>
    <row r="3" spans="1:7">
      <c r="A3" s="2" t="s">
        <v>116</v>
      </c>
      <c r="B3" t="str">
        <f t="shared" ref="B3:B13" si="0">LEFT(A3,6)</f>
        <v>Mumbai</v>
      </c>
      <c r="C3" s="2" t="s">
        <v>127</v>
      </c>
      <c r="D3" t="str">
        <f t="shared" ref="D3:D6" si="1">LEFT(C3,FIND(" ",C3,1))</f>
        <v xml:space="preserve">Delhi </v>
      </c>
      <c r="E3">
        <f t="shared" ref="E3:E6" si="2">FIND(" ",C3,1)-1</f>
        <v>5</v>
      </c>
      <c r="G3" s="2"/>
    </row>
    <row r="4" spans="1:7">
      <c r="A4" s="2" t="s">
        <v>117</v>
      </c>
      <c r="B4" t="str">
        <f t="shared" si="0"/>
        <v>Mumbai</v>
      </c>
      <c r="C4" s="2" t="s">
        <v>128</v>
      </c>
      <c r="D4" t="str">
        <f t="shared" si="1"/>
        <v xml:space="preserve">Pune </v>
      </c>
      <c r="E4">
        <f t="shared" si="2"/>
        <v>4</v>
      </c>
      <c r="G4" s="2"/>
    </row>
    <row r="5" spans="1:7">
      <c r="A5" s="2" t="s">
        <v>118</v>
      </c>
      <c r="B5" t="str">
        <f t="shared" si="0"/>
        <v>Mumbai</v>
      </c>
      <c r="C5" s="2" t="s">
        <v>187</v>
      </c>
      <c r="D5" t="str">
        <f t="shared" si="1"/>
        <v xml:space="preserve">Ahmednagar </v>
      </c>
      <c r="E5">
        <f t="shared" si="2"/>
        <v>10</v>
      </c>
      <c r="G5" s="2"/>
    </row>
    <row r="6" spans="1:7">
      <c r="A6" s="2" t="s">
        <v>119</v>
      </c>
      <c r="B6" t="str">
        <f t="shared" si="0"/>
        <v>Mumbai</v>
      </c>
      <c r="C6" s="2" t="s">
        <v>119</v>
      </c>
      <c r="D6" t="str">
        <f t="shared" si="1"/>
        <v xml:space="preserve">Mumbai </v>
      </c>
      <c r="E6">
        <f t="shared" si="2"/>
        <v>6</v>
      </c>
      <c r="G6" s="2"/>
    </row>
    <row r="7" spans="1:7">
      <c r="A7" s="2" t="s">
        <v>120</v>
      </c>
      <c r="B7" t="str">
        <f t="shared" si="0"/>
        <v>Mumbai</v>
      </c>
      <c r="C7" s="2" t="s">
        <v>120</v>
      </c>
      <c r="G7" s="2"/>
    </row>
    <row r="8" spans="1:7">
      <c r="A8" s="2" t="s">
        <v>121</v>
      </c>
      <c r="B8" t="str">
        <f t="shared" si="0"/>
        <v>Mumbai</v>
      </c>
      <c r="C8" s="2" t="s">
        <v>121</v>
      </c>
      <c r="G8" s="2"/>
    </row>
    <row r="9" spans="1:7">
      <c r="A9" s="2" t="s">
        <v>122</v>
      </c>
      <c r="B9" t="str">
        <f t="shared" si="0"/>
        <v>Mumbai</v>
      </c>
      <c r="C9" s="2" t="s">
        <v>122</v>
      </c>
      <c r="G9" s="2"/>
    </row>
    <row r="10" spans="1:7">
      <c r="A10" s="2" t="s">
        <v>123</v>
      </c>
      <c r="B10" t="str">
        <f t="shared" si="0"/>
        <v>Mumbai</v>
      </c>
      <c r="C10" s="2" t="s">
        <v>123</v>
      </c>
      <c r="G10" s="2"/>
    </row>
    <row r="11" spans="1:7">
      <c r="A11" s="2" t="s">
        <v>124</v>
      </c>
      <c r="B11" t="str">
        <f t="shared" si="0"/>
        <v>Mumbai</v>
      </c>
      <c r="C11" s="2" t="s">
        <v>124</v>
      </c>
      <c r="G11" s="2"/>
    </row>
    <row r="12" spans="1:7">
      <c r="A12" s="2" t="s">
        <v>125</v>
      </c>
      <c r="B12" t="str">
        <f t="shared" si="0"/>
        <v>Mumbai</v>
      </c>
      <c r="C12" s="2" t="s">
        <v>125</v>
      </c>
      <c r="G12" s="2"/>
    </row>
    <row r="13" spans="1:7">
      <c r="A13" s="2" t="s">
        <v>126</v>
      </c>
      <c r="B13" t="str">
        <f t="shared" si="0"/>
        <v>Mumbai</v>
      </c>
      <c r="C13" s="2" t="s">
        <v>126</v>
      </c>
      <c r="G13" s="2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13"/>
  <sheetViews>
    <sheetView topLeftCell="B1" zoomScale="200" zoomScaleNormal="200" workbookViewId="0">
      <selection activeCell="E2" sqref="E2"/>
    </sheetView>
  </sheetViews>
  <sheetFormatPr defaultRowHeight="15"/>
  <cols>
    <col min="1" max="1" width="19.7109375" customWidth="1"/>
    <col min="2" max="2" width="13" customWidth="1"/>
    <col min="3" max="3" width="19.140625" bestFit="1" customWidth="1"/>
    <col min="4" max="4" width="10.85546875" bestFit="1" customWidth="1"/>
    <col min="7" max="7" width="18.28515625" bestFit="1" customWidth="1"/>
  </cols>
  <sheetData>
    <row r="1" spans="1:7">
      <c r="A1" s="20" t="s">
        <v>114</v>
      </c>
      <c r="B1" t="s">
        <v>183</v>
      </c>
      <c r="C1" s="20" t="s">
        <v>114</v>
      </c>
      <c r="D1" t="s">
        <v>183</v>
      </c>
      <c r="E1" t="s">
        <v>191</v>
      </c>
      <c r="F1" t="s">
        <v>192</v>
      </c>
      <c r="G1" s="20"/>
    </row>
    <row r="2" spans="1:7">
      <c r="A2" s="2" t="s">
        <v>115</v>
      </c>
      <c r="B2" t="str">
        <f>RIGHT(A2,6)</f>
        <v>400086</v>
      </c>
      <c r="C2" s="2" t="s">
        <v>115</v>
      </c>
      <c r="D2" t="str">
        <f>RIGHT(C2,LEN(C2)-FIND("-",C2,1))</f>
        <v>400086</v>
      </c>
      <c r="E2">
        <f>FIND("-",C2,1)</f>
        <v>8</v>
      </c>
      <c r="F2">
        <f>LEN(C2)</f>
        <v>14</v>
      </c>
      <c r="G2" s="2">
        <f>F2-E2</f>
        <v>6</v>
      </c>
    </row>
    <row r="3" spans="1:7">
      <c r="A3" s="2" t="s">
        <v>116</v>
      </c>
      <c r="B3" t="str">
        <f t="shared" ref="B3:B13" si="0">RIGHT(A3,6)</f>
        <v>400087</v>
      </c>
      <c r="C3" s="2" t="s">
        <v>188</v>
      </c>
      <c r="D3" t="str">
        <f t="shared" ref="D3:D13" si="1">RIGHT(C3,LEN(C3)-FIND("-",C3,1))</f>
        <v>40008</v>
      </c>
      <c r="E3">
        <f t="shared" ref="E3:E13" si="2">FIND("-",C3,1)</f>
        <v>7</v>
      </c>
      <c r="F3">
        <f t="shared" ref="F3:F13" si="3">LEN(C3)</f>
        <v>12</v>
      </c>
      <c r="G3" s="2">
        <f t="shared" ref="G3:G13" si="4">F3-E3</f>
        <v>5</v>
      </c>
    </row>
    <row r="4" spans="1:7">
      <c r="A4" s="2" t="s">
        <v>117</v>
      </c>
      <c r="B4" t="str">
        <f t="shared" si="0"/>
        <v>400088</v>
      </c>
      <c r="C4" s="2" t="s">
        <v>189</v>
      </c>
      <c r="D4" t="str">
        <f t="shared" si="1"/>
        <v>4000</v>
      </c>
      <c r="E4">
        <f t="shared" si="2"/>
        <v>6</v>
      </c>
      <c r="F4">
        <f t="shared" si="3"/>
        <v>10</v>
      </c>
      <c r="G4" s="2">
        <f t="shared" si="4"/>
        <v>4</v>
      </c>
    </row>
    <row r="5" spans="1:7">
      <c r="A5" s="2" t="s">
        <v>118</v>
      </c>
      <c r="B5" t="str">
        <f t="shared" si="0"/>
        <v>400089</v>
      </c>
      <c r="C5" s="2" t="s">
        <v>190</v>
      </c>
      <c r="D5" t="str">
        <f t="shared" si="1"/>
        <v>4000895</v>
      </c>
      <c r="E5">
        <f t="shared" si="2"/>
        <v>9</v>
      </c>
      <c r="F5">
        <f t="shared" si="3"/>
        <v>16</v>
      </c>
      <c r="G5" s="2">
        <f t="shared" si="4"/>
        <v>7</v>
      </c>
    </row>
    <row r="6" spans="1:7">
      <c r="A6" s="2" t="s">
        <v>119</v>
      </c>
      <c r="B6" t="str">
        <f t="shared" si="0"/>
        <v>400090</v>
      </c>
      <c r="C6" s="2" t="s">
        <v>129</v>
      </c>
      <c r="D6" t="str">
        <f t="shared" si="1"/>
        <v>400090</v>
      </c>
      <c r="E6">
        <f t="shared" si="2"/>
        <v>9</v>
      </c>
      <c r="F6">
        <f t="shared" si="3"/>
        <v>15</v>
      </c>
      <c r="G6" s="2">
        <f t="shared" si="4"/>
        <v>6</v>
      </c>
    </row>
    <row r="7" spans="1:7">
      <c r="A7" s="2" t="s">
        <v>120</v>
      </c>
      <c r="B7" t="str">
        <f t="shared" si="0"/>
        <v>400091</v>
      </c>
      <c r="C7" s="2" t="s">
        <v>130</v>
      </c>
      <c r="D7" t="str">
        <f t="shared" si="1"/>
        <v>400091</v>
      </c>
      <c r="E7">
        <f t="shared" si="2"/>
        <v>7</v>
      </c>
      <c r="F7">
        <f t="shared" si="3"/>
        <v>13</v>
      </c>
      <c r="G7" s="2">
        <f t="shared" si="4"/>
        <v>6</v>
      </c>
    </row>
    <row r="8" spans="1:7">
      <c r="A8" s="2" t="s">
        <v>121</v>
      </c>
      <c r="B8" t="str">
        <f t="shared" si="0"/>
        <v>400092</v>
      </c>
      <c r="C8" s="2" t="s">
        <v>184</v>
      </c>
      <c r="D8" t="str">
        <f t="shared" si="1"/>
        <v>400092</v>
      </c>
      <c r="E8">
        <f t="shared" si="2"/>
        <v>11</v>
      </c>
      <c r="F8">
        <f t="shared" si="3"/>
        <v>17</v>
      </c>
      <c r="G8" s="2">
        <f t="shared" si="4"/>
        <v>6</v>
      </c>
    </row>
    <row r="9" spans="1:7">
      <c r="A9" s="2" t="s">
        <v>122</v>
      </c>
      <c r="B9" t="str">
        <f t="shared" si="0"/>
        <v>400093</v>
      </c>
      <c r="C9" s="2" t="s">
        <v>131</v>
      </c>
      <c r="D9" t="str">
        <f t="shared" si="1"/>
        <v>400093</v>
      </c>
      <c r="E9">
        <f t="shared" si="2"/>
        <v>7</v>
      </c>
      <c r="F9">
        <f t="shared" si="3"/>
        <v>13</v>
      </c>
      <c r="G9" s="2">
        <f t="shared" si="4"/>
        <v>6</v>
      </c>
    </row>
    <row r="10" spans="1:7">
      <c r="A10" s="2" t="s">
        <v>123</v>
      </c>
      <c r="B10" t="str">
        <f t="shared" si="0"/>
        <v>400094</v>
      </c>
      <c r="C10" s="2" t="s">
        <v>132</v>
      </c>
      <c r="D10" t="str">
        <f t="shared" si="1"/>
        <v>400094</v>
      </c>
      <c r="E10">
        <f t="shared" si="2"/>
        <v>8</v>
      </c>
      <c r="F10">
        <f t="shared" si="3"/>
        <v>14</v>
      </c>
      <c r="G10" s="2">
        <f t="shared" si="4"/>
        <v>6</v>
      </c>
    </row>
    <row r="11" spans="1:7">
      <c r="A11" s="2" t="s">
        <v>124</v>
      </c>
      <c r="B11" t="str">
        <f t="shared" si="0"/>
        <v>400095</v>
      </c>
      <c r="C11" s="2" t="s">
        <v>133</v>
      </c>
      <c r="D11" t="str">
        <f t="shared" si="1"/>
        <v>400095</v>
      </c>
      <c r="E11">
        <f t="shared" si="2"/>
        <v>8</v>
      </c>
      <c r="F11">
        <f t="shared" si="3"/>
        <v>14</v>
      </c>
      <c r="G11" s="2">
        <f t="shared" si="4"/>
        <v>6</v>
      </c>
    </row>
    <row r="12" spans="1:7">
      <c r="A12" s="2" t="s">
        <v>125</v>
      </c>
      <c r="B12" t="str">
        <f t="shared" si="0"/>
        <v>400096</v>
      </c>
      <c r="C12" s="2" t="s">
        <v>134</v>
      </c>
      <c r="D12" t="str">
        <f t="shared" si="1"/>
        <v>400096</v>
      </c>
      <c r="E12">
        <f t="shared" si="2"/>
        <v>10</v>
      </c>
      <c r="F12">
        <f t="shared" si="3"/>
        <v>16</v>
      </c>
      <c r="G12" s="2">
        <f t="shared" si="4"/>
        <v>6</v>
      </c>
    </row>
    <row r="13" spans="1:7">
      <c r="A13" s="2" t="s">
        <v>126</v>
      </c>
      <c r="B13" t="str">
        <f t="shared" si="0"/>
        <v>400097</v>
      </c>
      <c r="C13" s="2" t="s">
        <v>135</v>
      </c>
      <c r="D13" t="str">
        <f t="shared" si="1"/>
        <v>400097</v>
      </c>
      <c r="E13">
        <f t="shared" si="2"/>
        <v>10</v>
      </c>
      <c r="F13">
        <f t="shared" si="3"/>
        <v>16</v>
      </c>
      <c r="G13" s="2">
        <f t="shared" si="4"/>
        <v>6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6"/>
  <sheetViews>
    <sheetView zoomScale="235" zoomScaleNormal="235" workbookViewId="0">
      <selection sqref="A1:A6"/>
    </sheetView>
  </sheetViews>
  <sheetFormatPr defaultRowHeight="15"/>
  <cols>
    <col min="1" max="1" width="20.28515625" bestFit="1" customWidth="1"/>
    <col min="2" max="2" width="15" bestFit="1" customWidth="1"/>
    <col min="3" max="3" width="12.42578125" customWidth="1"/>
  </cols>
  <sheetData>
    <row r="1" spans="1:3">
      <c r="A1" t="s">
        <v>198</v>
      </c>
      <c r="B1" t="s">
        <v>199</v>
      </c>
    </row>
    <row r="2" spans="1:3">
      <c r="A2" s="51" t="s">
        <v>193</v>
      </c>
      <c r="B2" t="str">
        <f>MID(A2,FIND(" ",A2,1)+1,FIND(" ",A2,FIND(" ",A2,1)+1)-FIND(" ",A2,1)-1)</f>
        <v>Ramji</v>
      </c>
      <c r="C2" t="str">
        <f>MID(A2,FIND(" ",A2,1)+1,FIND(" ",A2,FIND(" ",A2,1)+1)-FIND(" ",A2,1))</f>
        <v xml:space="preserve">Ramji </v>
      </c>
    </row>
    <row r="3" spans="1:3">
      <c r="A3" s="51" t="s">
        <v>194</v>
      </c>
      <c r="B3" t="str">
        <f>MID(A3,FIND(" ",A3,1)+1,FIND(" ",A3,FIND(" ",A3,1)+1)-FIND(" ",A3,1)-1)</f>
        <v>Vishal</v>
      </c>
      <c r="C3" t="str">
        <f t="shared" ref="C3:C6" si="0">MID(A3,FIND(" ",A3,1)+1,FIND(" ",A3,FIND(" ",A3,1)+1)-FIND(" ",A3,1))</f>
        <v xml:space="preserve">Vishal </v>
      </c>
    </row>
    <row r="4" spans="1:3">
      <c r="A4" s="51" t="s">
        <v>196</v>
      </c>
      <c r="B4" t="str">
        <f>MID(A4,FIND(" ",A4,1)+1,FIND(" ",A4,FIND(" ",A4,1)+1)-FIND(" ",A4,1)-1)</f>
        <v>Shankar</v>
      </c>
      <c r="C4" t="str">
        <f t="shared" si="0"/>
        <v xml:space="preserve">Shankar </v>
      </c>
    </row>
    <row r="5" spans="1:3">
      <c r="A5" s="51" t="s">
        <v>195</v>
      </c>
      <c r="B5" t="str">
        <f>MID(A5,FIND(" ",A5,1)+1,FIND(" ",A5,FIND(" ",A5,1)+1)-FIND(" ",A5,1)-1)</f>
        <v>Ramesh</v>
      </c>
      <c r="C5" t="str">
        <f t="shared" si="0"/>
        <v xml:space="preserve">Ramesh </v>
      </c>
    </row>
    <row r="6" spans="1:3">
      <c r="A6" s="51" t="s">
        <v>197</v>
      </c>
      <c r="B6" t="str">
        <f>MID(A6,FIND(" ",A6,1)+1,FIND(" ",A6,FIND(" ",A6,1)+1)-FIND(" ",A6,1)-1)</f>
        <v>Rudra</v>
      </c>
      <c r="C6" t="str">
        <f t="shared" si="0"/>
        <v xml:space="preserve">Rudra 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7"/>
  <sheetViews>
    <sheetView zoomScale="250" zoomScaleNormal="250" workbookViewId="0">
      <selection activeCell="C3" sqref="C3"/>
    </sheetView>
  </sheetViews>
  <sheetFormatPr defaultRowHeight="15"/>
  <cols>
    <col min="1" max="1" width="12.7109375" bestFit="1" customWidth="1"/>
    <col min="2" max="2" width="19" customWidth="1"/>
    <col min="3" max="3" width="10.5703125" customWidth="1"/>
    <col min="4" max="4" width="14" bestFit="1" customWidth="1"/>
  </cols>
  <sheetData>
    <row r="1" spans="1:6" ht="21" customHeight="1">
      <c r="A1" s="93" t="s">
        <v>169</v>
      </c>
      <c r="B1" s="93"/>
      <c r="C1" s="93"/>
      <c r="D1" s="36"/>
      <c r="E1" s="36"/>
      <c r="F1" s="36"/>
    </row>
    <row r="2" spans="1:6">
      <c r="A2" s="39" t="s">
        <v>170</v>
      </c>
      <c r="B2" s="39" t="s">
        <v>168</v>
      </c>
      <c r="C2" s="39" t="s">
        <v>167</v>
      </c>
    </row>
    <row r="3" spans="1:6" ht="17.25" customHeight="1">
      <c r="A3" s="40" t="s">
        <v>29</v>
      </c>
      <c r="B3" s="41">
        <v>3</v>
      </c>
      <c r="C3" s="52" t="str">
        <f>REPT("«",B3)</f>
        <v>«««</v>
      </c>
    </row>
    <row r="4" spans="1:6">
      <c r="A4" s="40" t="s">
        <v>28</v>
      </c>
      <c r="B4" s="41">
        <v>5</v>
      </c>
      <c r="C4" s="52" t="str">
        <f t="shared" ref="C4:C7" si="0">REPT("«",B4)</f>
        <v>«««««</v>
      </c>
    </row>
    <row r="5" spans="1:6">
      <c r="A5" s="40" t="s">
        <v>171</v>
      </c>
      <c r="B5" s="41">
        <v>3</v>
      </c>
      <c r="C5" s="52" t="str">
        <f t="shared" si="0"/>
        <v>«««</v>
      </c>
    </row>
    <row r="6" spans="1:6">
      <c r="A6" s="40" t="s">
        <v>172</v>
      </c>
      <c r="B6" s="41">
        <v>2</v>
      </c>
      <c r="C6" s="52" t="str">
        <f t="shared" si="0"/>
        <v>««</v>
      </c>
    </row>
    <row r="7" spans="1:6">
      <c r="A7" s="40" t="s">
        <v>173</v>
      </c>
      <c r="B7" s="41">
        <v>1</v>
      </c>
      <c r="C7" s="52" t="str">
        <f t="shared" si="0"/>
        <v>«</v>
      </c>
    </row>
  </sheetData>
  <mergeCells count="1">
    <mergeCell ref="A1:C1"/>
  </mergeCells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E6"/>
  <sheetViews>
    <sheetView zoomScale="250" zoomScaleNormal="250" workbookViewId="0">
      <selection activeCell="B5" sqref="B5"/>
    </sheetView>
  </sheetViews>
  <sheetFormatPr defaultRowHeight="15"/>
  <cols>
    <col min="1" max="1" width="19.5703125" customWidth="1"/>
    <col min="2" max="2" width="20.28515625" customWidth="1"/>
  </cols>
  <sheetData>
    <row r="1" spans="1:5" ht="21" customHeight="1">
      <c r="A1" s="94" t="s">
        <v>166</v>
      </c>
      <c r="B1" s="95"/>
      <c r="C1" s="36"/>
      <c r="D1" s="36"/>
      <c r="E1" s="36"/>
    </row>
    <row r="2" spans="1:5">
      <c r="A2" s="37" t="s">
        <v>165</v>
      </c>
      <c r="B2" s="37" t="s">
        <v>164</v>
      </c>
    </row>
    <row r="3" spans="1:5" ht="17.25" customHeight="1">
      <c r="A3" s="38" t="s">
        <v>163</v>
      </c>
      <c r="B3" s="38" t="str">
        <f>SUBSTITUTE(A3,"-","")</f>
        <v>9812345678</v>
      </c>
    </row>
    <row r="4" spans="1:5">
      <c r="A4" s="38" t="s">
        <v>162</v>
      </c>
      <c r="B4" s="38" t="str">
        <f>SUBSTITUTE(A4,",","-")</f>
        <v>MUMBAI- 400086</v>
      </c>
    </row>
    <row r="5" spans="1:5">
      <c r="A5" s="38" t="s">
        <v>161</v>
      </c>
      <c r="B5" s="38"/>
    </row>
    <row r="6" spans="1:5">
      <c r="A6" s="38" t="s">
        <v>160</v>
      </c>
      <c r="B6" s="38"/>
    </row>
  </sheetData>
  <mergeCells count="1">
    <mergeCell ref="A1:B1"/>
  </mergeCells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17"/>
  <sheetViews>
    <sheetView topLeftCell="G1" zoomScale="190" zoomScaleNormal="190" workbookViewId="0">
      <selection activeCell="K6" sqref="K6"/>
    </sheetView>
  </sheetViews>
  <sheetFormatPr defaultRowHeight="15"/>
  <cols>
    <col min="1" max="1" width="11.140625" customWidth="1"/>
    <col min="2" max="2" width="16" customWidth="1"/>
    <col min="3" max="3" width="11.5703125" bestFit="1" customWidth="1"/>
    <col min="4" max="4" width="13.7109375" customWidth="1"/>
    <col min="5" max="5" width="22.5703125" bestFit="1" customWidth="1"/>
    <col min="7" max="7" width="14" bestFit="1" customWidth="1"/>
    <col min="8" max="8" width="16.85546875" customWidth="1"/>
    <col min="10" max="10" width="16" bestFit="1" customWidth="1"/>
    <col min="11" max="11" width="15.140625" customWidth="1"/>
  </cols>
  <sheetData>
    <row r="1" spans="1:13" ht="18.75">
      <c r="A1" s="32" t="s">
        <v>143</v>
      </c>
      <c r="B1" s="97" t="s">
        <v>159</v>
      </c>
      <c r="C1" s="98"/>
      <c r="G1" s="99" t="s">
        <v>156</v>
      </c>
      <c r="H1" s="100"/>
      <c r="J1" s="101" t="s">
        <v>155</v>
      </c>
      <c r="K1" s="101"/>
    </row>
    <row r="2" spans="1:13">
      <c r="B2" s="1" t="s">
        <v>154</v>
      </c>
      <c r="E2" s="30" t="s">
        <v>153</v>
      </c>
      <c r="G2" s="1" t="s">
        <v>141</v>
      </c>
      <c r="H2" s="1"/>
      <c r="J2" s="1"/>
      <c r="K2" s="1"/>
    </row>
    <row r="3" spans="1:13">
      <c r="A3" s="29" t="s">
        <v>152</v>
      </c>
      <c r="B3" s="1" t="s">
        <v>150</v>
      </c>
      <c r="C3" s="28">
        <v>0.1</v>
      </c>
      <c r="D3" s="1" t="s">
        <v>151</v>
      </c>
      <c r="E3" s="1" t="s">
        <v>101</v>
      </c>
      <c r="G3" s="1" t="s">
        <v>150</v>
      </c>
      <c r="H3" s="28">
        <v>0.1</v>
      </c>
      <c r="J3" s="1" t="s">
        <v>150</v>
      </c>
      <c r="K3" s="28">
        <v>0.1</v>
      </c>
    </row>
    <row r="4" spans="1:13">
      <c r="B4" s="29" t="s">
        <v>141</v>
      </c>
      <c r="C4" s="1">
        <v>1000000</v>
      </c>
      <c r="D4" s="33" t="s">
        <v>149</v>
      </c>
      <c r="E4" s="1" t="s">
        <v>148</v>
      </c>
      <c r="G4" s="1" t="s">
        <v>142</v>
      </c>
      <c r="H4" s="1">
        <v>25000</v>
      </c>
      <c r="J4" s="1" t="s">
        <v>142</v>
      </c>
      <c r="K4" s="1">
        <v>5500</v>
      </c>
    </row>
    <row r="5" spans="1:13">
      <c r="B5" s="29" t="s">
        <v>147</v>
      </c>
      <c r="C5" s="1">
        <v>60</v>
      </c>
      <c r="D5" s="33" t="s">
        <v>146</v>
      </c>
      <c r="E5" s="1" t="s">
        <v>145</v>
      </c>
      <c r="G5" s="1" t="s">
        <v>144</v>
      </c>
      <c r="H5" s="1">
        <v>60</v>
      </c>
      <c r="J5" s="1" t="s">
        <v>144</v>
      </c>
      <c r="K5" s="1">
        <v>12</v>
      </c>
    </row>
    <row r="6" spans="1:13">
      <c r="C6" s="1"/>
      <c r="M6">
        <f>K5*K4</f>
        <v>66000</v>
      </c>
    </row>
    <row r="7" spans="1:13">
      <c r="A7" s="1" t="s">
        <v>143</v>
      </c>
      <c r="B7" s="29" t="s">
        <v>142</v>
      </c>
      <c r="C7" s="34">
        <f>PMT(C3/12,C5,-C4)</f>
        <v>21247.044711268278</v>
      </c>
      <c r="G7" s="1" t="s">
        <v>141</v>
      </c>
      <c r="H7" s="27">
        <f>PV(H3/12,H5,-H4)</f>
        <v>1176634.2255937965</v>
      </c>
      <c r="J7" s="1" t="s">
        <v>140</v>
      </c>
      <c r="K7" s="27">
        <f>FV(K3/12,K5,-K4)</f>
        <v>69110.624511255912</v>
      </c>
    </row>
    <row r="8" spans="1:13">
      <c r="A8" s="1" t="s">
        <v>139</v>
      </c>
      <c r="B8" s="29" t="s">
        <v>138</v>
      </c>
      <c r="C8" s="1">
        <f>C7*C5</f>
        <v>1274822.6826760967</v>
      </c>
      <c r="E8" s="24"/>
    </row>
    <row r="9" spans="1:13">
      <c r="A9" s="1" t="s">
        <v>93</v>
      </c>
      <c r="B9" s="29" t="s">
        <v>137</v>
      </c>
      <c r="C9" s="25">
        <f>C8-C4</f>
        <v>274822.68267609668</v>
      </c>
      <c r="E9" s="26"/>
    </row>
    <row r="11" spans="1:13">
      <c r="C11" s="24"/>
    </row>
    <row r="15" spans="1:13">
      <c r="D15" s="96" t="s">
        <v>136</v>
      </c>
      <c r="E15" s="96"/>
    </row>
    <row r="16" spans="1:13">
      <c r="D16" s="24" t="e">
        <f>C4-#REF!</f>
        <v>#REF!</v>
      </c>
      <c r="E16" s="23" t="e">
        <f>PMT(C3/12,9,-D16)</f>
        <v>#REF!</v>
      </c>
    </row>
    <row r="17" spans="4:5">
      <c r="D17" s="24" t="e">
        <f>D16-#REF!</f>
        <v>#REF!</v>
      </c>
      <c r="E17" s="23" t="e">
        <f>PMT(C3/12,8,-D17)</f>
        <v>#REF!</v>
      </c>
    </row>
  </sheetData>
  <mergeCells count="4">
    <mergeCell ref="D15:E15"/>
    <mergeCell ref="B1:C1"/>
    <mergeCell ref="G1:H1"/>
    <mergeCell ref="J1:K1"/>
  </mergeCell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Q17"/>
  <sheetViews>
    <sheetView zoomScale="160" zoomScaleNormal="160" workbookViewId="0">
      <selection activeCell="B12" sqref="A12:B12"/>
    </sheetView>
  </sheetViews>
  <sheetFormatPr defaultRowHeight="15"/>
  <cols>
    <col min="1" max="1" width="11.140625" customWidth="1"/>
    <col min="2" max="2" width="16" customWidth="1"/>
    <col min="3" max="3" width="11.5703125" bestFit="1" customWidth="1"/>
    <col min="4" max="4" width="13.7109375" customWidth="1"/>
    <col min="5" max="5" width="22.5703125" bestFit="1" customWidth="1"/>
    <col min="6" max="6" width="12" bestFit="1" customWidth="1"/>
    <col min="7" max="7" width="10.42578125" customWidth="1"/>
    <col min="8" max="9" width="14" bestFit="1" customWidth="1"/>
    <col min="11" max="11" width="14" bestFit="1" customWidth="1"/>
    <col min="12" max="12" width="13.5703125" bestFit="1" customWidth="1"/>
    <col min="14" max="14" width="16" bestFit="1" customWidth="1"/>
    <col min="15" max="15" width="15.140625" customWidth="1"/>
  </cols>
  <sheetData>
    <row r="1" spans="1:17" ht="18.75">
      <c r="A1" s="42" t="s">
        <v>143</v>
      </c>
      <c r="B1" s="97" t="s">
        <v>159</v>
      </c>
      <c r="C1" s="98"/>
      <c r="F1" s="31" t="s">
        <v>146</v>
      </c>
      <c r="G1" s="42" t="s">
        <v>158</v>
      </c>
      <c r="H1" s="42" t="s">
        <v>157</v>
      </c>
      <c r="I1" s="42" t="s">
        <v>142</v>
      </c>
      <c r="K1" s="99" t="s">
        <v>156</v>
      </c>
      <c r="L1" s="100"/>
      <c r="N1" s="101" t="s">
        <v>155</v>
      </c>
      <c r="O1" s="101"/>
    </row>
    <row r="2" spans="1:17">
      <c r="B2" s="1" t="s">
        <v>154</v>
      </c>
      <c r="E2" s="30" t="s">
        <v>153</v>
      </c>
      <c r="F2" s="1">
        <v>1</v>
      </c>
      <c r="G2" s="25">
        <f>IPMT($C$3/12,F2,$C$5,-$C$4)</f>
        <v>833.33333333333337</v>
      </c>
      <c r="H2" s="25">
        <f>PPMT($C$3/12,F2,$C$5,-$C$4)</f>
        <v>9630.704765605522</v>
      </c>
      <c r="I2" s="25">
        <f>G2+H2</f>
        <v>10464.038098938856</v>
      </c>
      <c r="K2" s="1" t="s">
        <v>141</v>
      </c>
      <c r="L2" s="1"/>
      <c r="N2" s="1"/>
      <c r="O2" s="1"/>
    </row>
    <row r="3" spans="1:17">
      <c r="A3" s="29" t="s">
        <v>152</v>
      </c>
      <c r="B3" s="1" t="s">
        <v>150</v>
      </c>
      <c r="C3" s="28">
        <v>0.1</v>
      </c>
      <c r="D3" s="1" t="s">
        <v>151</v>
      </c>
      <c r="E3" s="1" t="s">
        <v>101</v>
      </c>
      <c r="F3" s="1">
        <v>2</v>
      </c>
      <c r="G3" s="25">
        <f>IPMT($C$3/12,F3,$C$5,-$C$4)</f>
        <v>753.07746028662052</v>
      </c>
      <c r="H3" s="25">
        <f>PPMT($C$3/12,F3,$C$5,-$C$4)</f>
        <v>9710.9606386522355</v>
      </c>
      <c r="I3" s="25">
        <f t="shared" ref="I3:I11" si="0">G3+H3</f>
        <v>10464.038098938856</v>
      </c>
      <c r="K3" s="1" t="s">
        <v>150</v>
      </c>
      <c r="L3" s="28">
        <v>0.1</v>
      </c>
      <c r="N3" s="1" t="s">
        <v>150</v>
      </c>
      <c r="O3" s="28">
        <v>0.03</v>
      </c>
    </row>
    <row r="4" spans="1:17">
      <c r="B4" s="29" t="s">
        <v>141</v>
      </c>
      <c r="C4" s="56">
        <v>100000</v>
      </c>
      <c r="D4" s="33" t="s">
        <v>149</v>
      </c>
      <c r="E4" s="1" t="s">
        <v>148</v>
      </c>
      <c r="F4" s="1">
        <v>3</v>
      </c>
      <c r="G4" s="25">
        <f>IPMT($C$3/12,F4,$C$5,-$C$4)</f>
        <v>672.15278829785188</v>
      </c>
      <c r="H4" s="25">
        <f>PPMT($C$3/12,F4,$C$5,-$C$4)</f>
        <v>9791.8853106410024</v>
      </c>
      <c r="I4" s="25">
        <f t="shared" si="0"/>
        <v>10464.038098938854</v>
      </c>
      <c r="K4" s="1" t="s">
        <v>142</v>
      </c>
      <c r="L4" s="1">
        <v>20000</v>
      </c>
      <c r="N4" s="1" t="s">
        <v>142</v>
      </c>
      <c r="O4" s="1">
        <v>5500</v>
      </c>
    </row>
    <row r="5" spans="1:17">
      <c r="B5" s="29" t="s">
        <v>147</v>
      </c>
      <c r="C5" s="1">
        <v>10</v>
      </c>
      <c r="D5" s="33" t="s">
        <v>146</v>
      </c>
      <c r="E5" s="1" t="s">
        <v>145</v>
      </c>
      <c r="F5" s="1">
        <v>4</v>
      </c>
      <c r="G5" s="25">
        <f>IPMT($C$3/12,F5,$C$5,-$C$4)</f>
        <v>590.55374404251017</v>
      </c>
      <c r="H5" s="25">
        <f t="shared" ref="H5:H11" si="1">PPMT($C$3/12,F5,$C$5,-$C$4)</f>
        <v>9873.4843548963454</v>
      </c>
      <c r="I5" s="25">
        <f t="shared" si="0"/>
        <v>10464.038098938856</v>
      </c>
      <c r="K5" s="1" t="s">
        <v>144</v>
      </c>
      <c r="L5" s="1">
        <v>60</v>
      </c>
      <c r="N5" s="1" t="s">
        <v>144</v>
      </c>
      <c r="O5" s="1">
        <v>12</v>
      </c>
    </row>
    <row r="6" spans="1:17">
      <c r="C6" s="1"/>
      <c r="F6" s="1">
        <v>5</v>
      </c>
      <c r="G6" s="25">
        <f>IPMT($C$3/12,F6,$C$5,-$C$4)</f>
        <v>508.2747077517073</v>
      </c>
      <c r="H6" s="25">
        <f t="shared" si="1"/>
        <v>9955.763391187149</v>
      </c>
      <c r="I6" s="25">
        <f t="shared" si="0"/>
        <v>10464.038098938856</v>
      </c>
      <c r="Q6">
        <f>O4*O5</f>
        <v>66000</v>
      </c>
    </row>
    <row r="7" spans="1:17">
      <c r="A7" s="1" t="s">
        <v>143</v>
      </c>
      <c r="B7" s="29" t="s">
        <v>142</v>
      </c>
      <c r="C7" s="34">
        <f>PMT(C3/12,C5,-C4)</f>
        <v>10464.038098938856</v>
      </c>
      <c r="F7" s="1">
        <v>6</v>
      </c>
      <c r="G7" s="25">
        <f t="shared" ref="G7:G11" si="2">IPMT($C$3/12,F7,$C$5,-$C$4)</f>
        <v>425.31001282514779</v>
      </c>
      <c r="H7" s="25">
        <f t="shared" si="1"/>
        <v>10038.728086113708</v>
      </c>
      <c r="I7" s="25">
        <f t="shared" si="0"/>
        <v>10464.038098938856</v>
      </c>
      <c r="K7" s="1" t="s">
        <v>141</v>
      </c>
      <c r="L7" s="27">
        <f>PV(L3/12,L5,-L4)</f>
        <v>941307.38047503715</v>
      </c>
      <c r="N7" s="1" t="s">
        <v>140</v>
      </c>
      <c r="O7" s="27">
        <f>FV(O3/12,O5,-O4)</f>
        <v>66915.10520971482</v>
      </c>
    </row>
    <row r="8" spans="1:17">
      <c r="A8" s="1" t="s">
        <v>139</v>
      </c>
      <c r="B8" s="29" t="s">
        <v>138</v>
      </c>
      <c r="C8" s="53">
        <f>C7*C5</f>
        <v>104640.38098938856</v>
      </c>
      <c r="E8" s="24"/>
      <c r="F8" s="1">
        <v>7</v>
      </c>
      <c r="G8" s="25">
        <f t="shared" si="2"/>
        <v>341.65394544086683</v>
      </c>
      <c r="H8" s="25">
        <f t="shared" si="1"/>
        <v>10122.384153497989</v>
      </c>
      <c r="I8" s="25">
        <f t="shared" si="0"/>
        <v>10464.038098938856</v>
      </c>
    </row>
    <row r="9" spans="1:17">
      <c r="A9" s="1" t="s">
        <v>93</v>
      </c>
      <c r="B9" s="29" t="s">
        <v>137</v>
      </c>
      <c r="C9" s="57">
        <f>C8-C4</f>
        <v>4640.3809893885627</v>
      </c>
      <c r="E9" s="26"/>
      <c r="F9" s="1">
        <v>8</v>
      </c>
      <c r="G9" s="25">
        <f t="shared" si="2"/>
        <v>257.30074416171698</v>
      </c>
      <c r="H9" s="25">
        <f t="shared" si="1"/>
        <v>10206.73735477714</v>
      </c>
      <c r="I9" s="25">
        <f t="shared" si="0"/>
        <v>10464.038098938858</v>
      </c>
    </row>
    <row r="10" spans="1:17">
      <c r="F10" s="1">
        <v>9</v>
      </c>
      <c r="G10" s="25">
        <f t="shared" si="2"/>
        <v>172.24459953857416</v>
      </c>
      <c r="H10" s="25">
        <f t="shared" si="1"/>
        <v>10291.793499400283</v>
      </c>
      <c r="I10" s="25">
        <f t="shared" si="0"/>
        <v>10464.038098938856</v>
      </c>
    </row>
    <row r="11" spans="1:17">
      <c r="C11" s="24"/>
      <c r="F11" s="1">
        <v>10</v>
      </c>
      <c r="G11" s="25">
        <f t="shared" si="2"/>
        <v>86.47965371023848</v>
      </c>
      <c r="H11" s="25">
        <f t="shared" si="1"/>
        <v>10377.558445228618</v>
      </c>
      <c r="I11" s="25">
        <f t="shared" si="0"/>
        <v>10464.038098938858</v>
      </c>
    </row>
    <row r="12" spans="1:17">
      <c r="F12" s="1"/>
      <c r="G12" s="57">
        <f>SUM(G2:G11)</f>
        <v>4640.3809893885682</v>
      </c>
      <c r="H12" s="55">
        <f>SUM(H2:H11)</f>
        <v>100000</v>
      </c>
      <c r="I12" s="54">
        <f>SUM(I2:I11)</f>
        <v>104640.38098938856</v>
      </c>
    </row>
    <row r="14" spans="1:17">
      <c r="H14" s="35"/>
    </row>
    <row r="15" spans="1:17">
      <c r="D15" s="96" t="s">
        <v>136</v>
      </c>
      <c r="E15" s="96"/>
    </row>
    <row r="16" spans="1:17">
      <c r="D16" s="24">
        <f>C4-H2</f>
        <v>90369.295234394478</v>
      </c>
      <c r="E16" s="23">
        <f>PMT(C3/12,9,-D16)</f>
        <v>10464.038098938856</v>
      </c>
    </row>
    <row r="17" spans="4:5">
      <c r="D17" s="24">
        <f>D16-H3</f>
        <v>80658.334595742243</v>
      </c>
      <c r="E17" s="23">
        <f>PMT(C3/12,8,-D17)</f>
        <v>10464.038098938858</v>
      </c>
    </row>
  </sheetData>
  <mergeCells count="4">
    <mergeCell ref="B1:C1"/>
    <mergeCell ref="K1:L1"/>
    <mergeCell ref="N1:O1"/>
    <mergeCell ref="D15:E15"/>
  </mergeCell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12"/>
  <sheetViews>
    <sheetView zoomScale="205" zoomScaleNormal="205" workbookViewId="0">
      <selection activeCell="B2" sqref="B2"/>
    </sheetView>
  </sheetViews>
  <sheetFormatPr defaultRowHeight="15"/>
  <cols>
    <col min="1" max="1" width="9.85546875" customWidth="1"/>
  </cols>
  <sheetData>
    <row r="1" spans="1:8" ht="18.75" customHeight="1">
      <c r="A1" s="62" t="s">
        <v>210</v>
      </c>
      <c r="B1" s="61" t="str">
        <f>D1</f>
        <v>Oct</v>
      </c>
      <c r="C1" s="60" t="s">
        <v>209</v>
      </c>
      <c r="D1" s="60" t="s">
        <v>213</v>
      </c>
      <c r="F1" t="s">
        <v>221</v>
      </c>
      <c r="G1">
        <v>2</v>
      </c>
    </row>
    <row r="2" spans="1:8">
      <c r="A2" s="59" t="s">
        <v>207</v>
      </c>
      <c r="B2" s="58">
        <f t="shared" ref="B2:B9" si="0">VLOOKUP(A2,sales_data,VLOOKUP($B$1,Month_no,2,0),0)</f>
        <v>0.3</v>
      </c>
      <c r="F2" t="s">
        <v>220</v>
      </c>
      <c r="G2">
        <v>3</v>
      </c>
      <c r="H2">
        <f>VLOOKUP(D1,Month_no,2,0)</f>
        <v>11</v>
      </c>
    </row>
    <row r="3" spans="1:8">
      <c r="A3" s="59" t="s">
        <v>206</v>
      </c>
      <c r="B3" s="58">
        <f t="shared" si="0"/>
        <v>0.47</v>
      </c>
      <c r="F3" t="s">
        <v>219</v>
      </c>
      <c r="G3">
        <v>4</v>
      </c>
    </row>
    <row r="4" spans="1:8">
      <c r="A4" s="59" t="s">
        <v>205</v>
      </c>
      <c r="B4" s="58">
        <f t="shared" si="0"/>
        <v>0.82</v>
      </c>
      <c r="F4" t="s">
        <v>218</v>
      </c>
      <c r="G4">
        <v>5</v>
      </c>
    </row>
    <row r="5" spans="1:8">
      <c r="A5" s="59" t="s">
        <v>204</v>
      </c>
      <c r="B5" s="58">
        <f t="shared" si="0"/>
        <v>0.47</v>
      </c>
      <c r="F5" t="s">
        <v>217</v>
      </c>
      <c r="G5">
        <v>6</v>
      </c>
    </row>
    <row r="6" spans="1:8">
      <c r="A6" s="59" t="s">
        <v>203</v>
      </c>
      <c r="B6" s="58">
        <f t="shared" si="0"/>
        <v>0.56000000000000005</v>
      </c>
      <c r="F6" t="s">
        <v>208</v>
      </c>
      <c r="G6">
        <v>7</v>
      </c>
    </row>
    <row r="7" spans="1:8">
      <c r="A7" s="59" t="s">
        <v>202</v>
      </c>
      <c r="B7" s="58">
        <f t="shared" si="0"/>
        <v>0.72</v>
      </c>
      <c r="F7" t="s">
        <v>216</v>
      </c>
      <c r="G7">
        <v>8</v>
      </c>
    </row>
    <row r="8" spans="1:8">
      <c r="A8" s="59" t="s">
        <v>201</v>
      </c>
      <c r="B8" s="58">
        <f t="shared" si="0"/>
        <v>0.89</v>
      </c>
      <c r="F8" t="s">
        <v>215</v>
      </c>
      <c r="G8">
        <v>9</v>
      </c>
    </row>
    <row r="9" spans="1:8">
      <c r="A9" s="59" t="s">
        <v>200</v>
      </c>
      <c r="B9" s="58">
        <f t="shared" si="0"/>
        <v>0.22</v>
      </c>
      <c r="F9" t="s">
        <v>214</v>
      </c>
      <c r="G9">
        <v>10</v>
      </c>
    </row>
    <row r="10" spans="1:8">
      <c r="F10" t="s">
        <v>213</v>
      </c>
      <c r="G10">
        <v>11</v>
      </c>
    </row>
    <row r="11" spans="1:8">
      <c r="F11" t="s">
        <v>212</v>
      </c>
      <c r="G11">
        <v>12</v>
      </c>
    </row>
    <row r="12" spans="1:8">
      <c r="F12" t="s">
        <v>211</v>
      </c>
      <c r="G12">
        <v>13</v>
      </c>
    </row>
  </sheetData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0000000}">
          <x14:formula1>
            <xm:f>'81- BackupData'!$B$1:$M$1</xm:f>
          </x14:formula1>
          <xm:sqref>D1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M25"/>
  <sheetViews>
    <sheetView zoomScale="160" zoomScaleNormal="160" workbookViewId="0">
      <selection activeCell="B11" sqref="B11"/>
    </sheetView>
  </sheetViews>
  <sheetFormatPr defaultRowHeight="15"/>
  <sheetData>
    <row r="1" spans="1:13">
      <c r="A1" s="66" t="s">
        <v>210</v>
      </c>
      <c r="B1" s="65" t="s">
        <v>221</v>
      </c>
      <c r="C1" s="65" t="s">
        <v>220</v>
      </c>
      <c r="D1" s="65" t="s">
        <v>219</v>
      </c>
      <c r="E1" s="65" t="s">
        <v>218</v>
      </c>
      <c r="F1" s="65" t="s">
        <v>217</v>
      </c>
      <c r="G1" s="65" t="s">
        <v>208</v>
      </c>
      <c r="H1" s="65" t="s">
        <v>216</v>
      </c>
      <c r="I1" s="65" t="s">
        <v>215</v>
      </c>
      <c r="J1" s="65" t="s">
        <v>214</v>
      </c>
      <c r="K1" s="65" t="s">
        <v>213</v>
      </c>
      <c r="L1" s="65" t="s">
        <v>212</v>
      </c>
      <c r="M1" s="65" t="s">
        <v>211</v>
      </c>
    </row>
    <row r="2" spans="1:13">
      <c r="A2" s="59" t="s">
        <v>207</v>
      </c>
      <c r="B2" s="64">
        <v>0.24</v>
      </c>
      <c r="C2" s="64">
        <v>0.72</v>
      </c>
      <c r="D2" s="64">
        <v>0.57999999999999996</v>
      </c>
      <c r="E2" s="64">
        <v>0.3</v>
      </c>
      <c r="F2" s="64">
        <v>0.51</v>
      </c>
      <c r="G2" s="64">
        <v>0.36</v>
      </c>
      <c r="H2" s="64">
        <v>0.43</v>
      </c>
      <c r="I2" s="64">
        <v>0.33</v>
      </c>
      <c r="J2" s="64">
        <v>0.61</v>
      </c>
      <c r="K2" s="64">
        <v>0.3</v>
      </c>
      <c r="L2" s="64">
        <v>0.77</v>
      </c>
      <c r="M2" s="64">
        <v>0.47</v>
      </c>
    </row>
    <row r="3" spans="1:13">
      <c r="A3" s="59" t="s">
        <v>206</v>
      </c>
      <c r="B3" s="64">
        <v>0.2</v>
      </c>
      <c r="C3" s="64">
        <v>0.75</v>
      </c>
      <c r="D3" s="64">
        <v>0.79</v>
      </c>
      <c r="E3" s="64">
        <v>0.23</v>
      </c>
      <c r="F3" s="64">
        <v>0.75</v>
      </c>
      <c r="G3" s="64">
        <v>0.48</v>
      </c>
      <c r="H3" s="64">
        <v>0.81</v>
      </c>
      <c r="I3" s="64">
        <v>0.63</v>
      </c>
      <c r="J3" s="64">
        <v>0.39</v>
      </c>
      <c r="K3" s="64">
        <v>0.47</v>
      </c>
      <c r="L3" s="64">
        <v>0.79</v>
      </c>
      <c r="M3" s="64">
        <v>0.57999999999999996</v>
      </c>
    </row>
    <row r="4" spans="1:13">
      <c r="A4" s="59" t="s">
        <v>205</v>
      </c>
      <c r="B4" s="64">
        <v>0.73</v>
      </c>
      <c r="C4" s="64">
        <v>0.75</v>
      </c>
      <c r="D4" s="64">
        <v>0.81</v>
      </c>
      <c r="E4" s="64">
        <v>0.26</v>
      </c>
      <c r="F4" s="64">
        <v>0.2</v>
      </c>
      <c r="G4" s="64">
        <v>0.38</v>
      </c>
      <c r="H4" s="64">
        <v>0.54</v>
      </c>
      <c r="I4" s="64">
        <v>0.46</v>
      </c>
      <c r="J4" s="64">
        <v>0.35</v>
      </c>
      <c r="K4" s="64">
        <v>0.82</v>
      </c>
      <c r="L4" s="64">
        <v>0.23</v>
      </c>
      <c r="M4" s="64">
        <v>0.22</v>
      </c>
    </row>
    <row r="5" spans="1:13">
      <c r="A5" s="59" t="s">
        <v>204</v>
      </c>
      <c r="B5" s="64">
        <v>0.12</v>
      </c>
      <c r="C5" s="64">
        <v>0.4</v>
      </c>
      <c r="D5" s="64">
        <v>0.62</v>
      </c>
      <c r="E5" s="64">
        <v>0.42</v>
      </c>
      <c r="F5" s="64">
        <v>0.28999999999999998</v>
      </c>
      <c r="G5" s="64">
        <v>0.57999999999999996</v>
      </c>
      <c r="H5" s="64">
        <v>0.55000000000000004</v>
      </c>
      <c r="I5" s="64">
        <v>0.76</v>
      </c>
      <c r="J5" s="64">
        <v>0.13</v>
      </c>
      <c r="K5" s="64">
        <v>0.47</v>
      </c>
      <c r="L5" s="64">
        <v>0.76</v>
      </c>
      <c r="M5" s="64">
        <v>0.47</v>
      </c>
    </row>
    <row r="6" spans="1:13">
      <c r="A6" s="59" t="s">
        <v>203</v>
      </c>
      <c r="B6" s="64">
        <v>0.65</v>
      </c>
      <c r="C6" s="64">
        <v>0.13</v>
      </c>
      <c r="D6" s="64">
        <v>0.49</v>
      </c>
      <c r="E6" s="64">
        <v>0.25</v>
      </c>
      <c r="F6" s="64">
        <v>0.85</v>
      </c>
      <c r="G6" s="64">
        <v>0.23</v>
      </c>
      <c r="H6" s="64">
        <v>0.34</v>
      </c>
      <c r="I6" s="64">
        <v>0.67</v>
      </c>
      <c r="J6" s="64">
        <v>0.9</v>
      </c>
      <c r="K6" s="64">
        <v>0.56000000000000005</v>
      </c>
      <c r="L6" s="64">
        <v>0.56000000000000005</v>
      </c>
      <c r="M6" s="64">
        <v>0.42</v>
      </c>
    </row>
    <row r="7" spans="1:13">
      <c r="A7" s="59" t="s">
        <v>202</v>
      </c>
      <c r="B7" s="64">
        <v>0.1</v>
      </c>
      <c r="C7" s="64">
        <v>0.16</v>
      </c>
      <c r="D7" s="64">
        <v>0.59</v>
      </c>
      <c r="E7" s="64">
        <v>0.83</v>
      </c>
      <c r="F7" s="64">
        <v>0.22</v>
      </c>
      <c r="G7" s="64">
        <v>0.87</v>
      </c>
      <c r="H7" s="64">
        <v>0.14000000000000001</v>
      </c>
      <c r="I7" s="64">
        <v>0.32</v>
      </c>
      <c r="J7" s="64">
        <v>0.69</v>
      </c>
      <c r="K7" s="64">
        <v>0.72</v>
      </c>
      <c r="L7" s="64">
        <v>0.61</v>
      </c>
      <c r="M7" s="64">
        <v>0.26</v>
      </c>
    </row>
    <row r="8" spans="1:13">
      <c r="A8" s="59" t="s">
        <v>201</v>
      </c>
      <c r="B8" s="64">
        <v>0.72</v>
      </c>
      <c r="C8" s="64">
        <v>0.56999999999999995</v>
      </c>
      <c r="D8" s="64">
        <v>0.66</v>
      </c>
      <c r="E8" s="64">
        <v>0.72</v>
      </c>
      <c r="F8" s="64">
        <v>0.35</v>
      </c>
      <c r="G8" s="64">
        <v>0.87</v>
      </c>
      <c r="H8" s="64">
        <v>0.85</v>
      </c>
      <c r="I8" s="64">
        <v>0.31</v>
      </c>
      <c r="J8" s="64">
        <v>0.85</v>
      </c>
      <c r="K8" s="64">
        <v>0.89</v>
      </c>
      <c r="L8" s="64">
        <v>0.37</v>
      </c>
      <c r="M8" s="64">
        <v>0.46</v>
      </c>
    </row>
    <row r="9" spans="1:13">
      <c r="A9" s="59" t="s">
        <v>200</v>
      </c>
      <c r="B9" s="64">
        <v>0.87</v>
      </c>
      <c r="C9" s="64">
        <v>0.72</v>
      </c>
      <c r="D9" s="64">
        <v>0.83</v>
      </c>
      <c r="E9" s="64">
        <v>0.12</v>
      </c>
      <c r="F9" s="64">
        <v>0.71</v>
      </c>
      <c r="G9" s="64">
        <v>0.12</v>
      </c>
      <c r="H9" s="64">
        <v>0.48</v>
      </c>
      <c r="I9" s="64">
        <v>0.46</v>
      </c>
      <c r="J9" s="64">
        <v>0.69</v>
      </c>
      <c r="K9" s="64">
        <v>0.22</v>
      </c>
      <c r="L9" s="64">
        <v>0.32</v>
      </c>
      <c r="M9" s="64">
        <v>0.68</v>
      </c>
    </row>
    <row r="11" spans="1:13">
      <c r="A11" s="81" t="s">
        <v>259</v>
      </c>
      <c r="B11">
        <f>MATCH(A11,A1:M1,0)</f>
        <v>8</v>
      </c>
    </row>
    <row r="14" spans="1:13">
      <c r="A14" s="63"/>
    </row>
    <row r="15" spans="1:13">
      <c r="A15" s="63"/>
    </row>
    <row r="16" spans="1:13">
      <c r="A16" s="63"/>
    </row>
    <row r="17" spans="1:1">
      <c r="A17" s="63"/>
    </row>
    <row r="18" spans="1:1">
      <c r="A18" s="63"/>
    </row>
    <row r="19" spans="1:1">
      <c r="A19" s="63"/>
    </row>
    <row r="20" spans="1:1">
      <c r="A20" s="63"/>
    </row>
    <row r="21" spans="1:1">
      <c r="A21" s="63"/>
    </row>
    <row r="22" spans="1:1">
      <c r="A22" s="63"/>
    </row>
    <row r="23" spans="1:1">
      <c r="A23" s="63"/>
    </row>
    <row r="24" spans="1:1">
      <c r="A24" s="63"/>
    </row>
    <row r="25" spans="1:1">
      <c r="A25" s="6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F16"/>
  <sheetViews>
    <sheetView zoomScale="190" zoomScaleNormal="190" workbookViewId="0">
      <selection sqref="A1:A6"/>
    </sheetView>
  </sheetViews>
  <sheetFormatPr defaultRowHeight="15"/>
  <cols>
    <col min="1" max="2" width="24.140625" bestFit="1" customWidth="1"/>
    <col min="3" max="3" width="20.7109375" bestFit="1" customWidth="1"/>
    <col min="4" max="4" width="21.5703125" bestFit="1" customWidth="1"/>
  </cols>
  <sheetData>
    <row r="1" spans="1:6">
      <c r="A1" t="s">
        <v>198</v>
      </c>
      <c r="B1" s="1" t="s">
        <v>222</v>
      </c>
      <c r="C1" s="1" t="s">
        <v>223</v>
      </c>
      <c r="D1" s="1" t="s">
        <v>224</v>
      </c>
      <c r="E1" s="1" t="s">
        <v>225</v>
      </c>
      <c r="F1" s="1" t="s">
        <v>226</v>
      </c>
    </row>
    <row r="2" spans="1:6">
      <c r="A2" s="51" t="s">
        <v>261</v>
      </c>
      <c r="B2" t="str">
        <f>UPPER(A2)</f>
        <v>SANJY RAMJI MISHRA</v>
      </c>
      <c r="C2" t="str">
        <f>LOWER(B2)</f>
        <v>sanjy ramji mishra</v>
      </c>
      <c r="D2" t="str">
        <f>PROPER(C2)</f>
        <v>Sanjy Ramji Mishra</v>
      </c>
    </row>
    <row r="3" spans="1:6">
      <c r="A3" s="51" t="s">
        <v>262</v>
      </c>
      <c r="B3" t="str">
        <f t="shared" ref="B3:B6" si="0">UPPER(A3)</f>
        <v>ARJUN VISHAL PRAJAPATI</v>
      </c>
      <c r="C3" t="str">
        <f t="shared" ref="C3:C6" si="1">LOWER(B3)</f>
        <v>arjun vishal prajapati</v>
      </c>
      <c r="D3" t="str">
        <f t="shared" ref="D3:D6" si="2">PROPER(C3)</f>
        <v>Arjun Vishal Prajapati</v>
      </c>
    </row>
    <row r="4" spans="1:6">
      <c r="A4" s="51" t="s">
        <v>263</v>
      </c>
      <c r="B4" t="str">
        <f t="shared" si="0"/>
        <v>RAVI SHANKAR VARMA</v>
      </c>
      <c r="C4" t="str">
        <f t="shared" si="1"/>
        <v>ravi shankar varma</v>
      </c>
      <c r="D4" t="str">
        <f t="shared" si="2"/>
        <v>Ravi Shankar Varma</v>
      </c>
    </row>
    <row r="5" spans="1:6">
      <c r="A5" s="51" t="s">
        <v>264</v>
      </c>
      <c r="B5" t="str">
        <f t="shared" si="0"/>
        <v>VIKAS RAMESH PANCHOLI</v>
      </c>
      <c r="C5" t="str">
        <f t="shared" si="1"/>
        <v>vikas ramesh pancholi</v>
      </c>
      <c r="D5" t="str">
        <f t="shared" si="2"/>
        <v>Vikas Ramesh Pancholi</v>
      </c>
    </row>
    <row r="6" spans="1:6">
      <c r="A6" s="51" t="s">
        <v>265</v>
      </c>
      <c r="B6" t="str">
        <f t="shared" si="0"/>
        <v>ANVI RUDRA SINGH</v>
      </c>
      <c r="C6" t="str">
        <f t="shared" si="1"/>
        <v>anvi rudra singh</v>
      </c>
      <c r="D6" t="str">
        <f t="shared" si="2"/>
        <v>Anvi Rudra Singh</v>
      </c>
    </row>
    <row r="9" spans="1:6">
      <c r="A9" t="s">
        <v>266</v>
      </c>
    </row>
    <row r="10" spans="1:6">
      <c r="A10" s="51" t="s">
        <v>267</v>
      </c>
      <c r="B10" t="str">
        <f>TRIM(A10)</f>
        <v>sanjay ramji mishra</v>
      </c>
    </row>
    <row r="11" spans="1:6">
      <c r="A11" s="51" t="s">
        <v>268</v>
      </c>
      <c r="B11" t="str">
        <f>TRIM(A11)</f>
        <v>sanjay</v>
      </c>
      <c r="C11">
        <f>LEN(A11)</f>
        <v>10</v>
      </c>
      <c r="D11">
        <f>LEN(B11)</f>
        <v>6</v>
      </c>
    </row>
    <row r="12" spans="1:6">
      <c r="A12" s="51" t="s">
        <v>269</v>
      </c>
      <c r="B12" t="str">
        <f t="shared" ref="B12:B16" si="3">TRIM(A12)</f>
        <v>Sanjay</v>
      </c>
      <c r="C12">
        <f t="shared" ref="C12:C16" si="4">LEN(A12)</f>
        <v>6</v>
      </c>
      <c r="D12">
        <f t="shared" ref="D12:D16" si="5">LEN(B12)</f>
        <v>6</v>
      </c>
    </row>
    <row r="13" spans="1:6">
      <c r="A13" s="51" t="s">
        <v>270</v>
      </c>
      <c r="B13" t="str">
        <f t="shared" si="3"/>
        <v>sanjay</v>
      </c>
      <c r="C13">
        <f t="shared" si="4"/>
        <v>9</v>
      </c>
      <c r="D13">
        <f t="shared" si="5"/>
        <v>6</v>
      </c>
    </row>
    <row r="14" spans="1:6">
      <c r="A14" s="51" t="s">
        <v>271</v>
      </c>
      <c r="B14" t="str">
        <f t="shared" si="3"/>
        <v>sanjay</v>
      </c>
      <c r="C14">
        <f t="shared" si="4"/>
        <v>14</v>
      </c>
      <c r="D14">
        <f t="shared" si="5"/>
        <v>6</v>
      </c>
    </row>
    <row r="15" spans="1:6">
      <c r="A15" s="82" t="s">
        <v>260</v>
      </c>
      <c r="B15" t="str">
        <f t="shared" si="3"/>
        <v>sanjay</v>
      </c>
      <c r="C15">
        <f t="shared" si="4"/>
        <v>6</v>
      </c>
      <c r="D15">
        <f t="shared" si="5"/>
        <v>6</v>
      </c>
    </row>
    <row r="16" spans="1:6">
      <c r="A16" s="82" t="s">
        <v>272</v>
      </c>
      <c r="B16" t="str">
        <f t="shared" si="3"/>
        <v>sanjay</v>
      </c>
      <c r="C16">
        <f t="shared" si="4"/>
        <v>7</v>
      </c>
      <c r="D16">
        <f t="shared" si="5"/>
        <v>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C14"/>
  <sheetViews>
    <sheetView zoomScale="160" zoomScaleNormal="160" workbookViewId="0">
      <selection activeCell="B3" sqref="B3:B12"/>
    </sheetView>
  </sheetViews>
  <sheetFormatPr defaultRowHeight="15"/>
  <cols>
    <col min="1" max="1" width="22.42578125" style="67" customWidth="1"/>
    <col min="2" max="2" width="23.85546875" customWidth="1"/>
    <col min="3" max="3" width="13.42578125" customWidth="1"/>
  </cols>
  <sheetData>
    <row r="1" spans="1:3" ht="19.5" customHeight="1">
      <c r="A1" s="102" t="s">
        <v>230</v>
      </c>
      <c r="B1" s="102"/>
      <c r="C1" s="102"/>
    </row>
    <row r="2" spans="1:3">
      <c r="A2" s="72" t="s">
        <v>229</v>
      </c>
      <c r="B2" s="71" t="s">
        <v>228</v>
      </c>
      <c r="C2" s="71" t="s">
        <v>227</v>
      </c>
    </row>
    <row r="3" spans="1:3">
      <c r="A3" s="70">
        <v>42736</v>
      </c>
      <c r="B3" s="69">
        <f>A3</f>
        <v>42736</v>
      </c>
      <c r="C3" s="68" t="str">
        <f>CEILING(MONTH(A3),3)/3&amp;" Quarter"</f>
        <v>1 Quarter</v>
      </c>
    </row>
    <row r="4" spans="1:3">
      <c r="A4" s="70">
        <v>42771</v>
      </c>
      <c r="B4" s="69">
        <f t="shared" ref="B4:B14" si="0">A4</f>
        <v>42771</v>
      </c>
      <c r="C4" s="68" t="str">
        <f t="shared" ref="C4:C14" si="1">CEILING(MONTH(A4),3)/3&amp;" Quarter"</f>
        <v>1 Quarter</v>
      </c>
    </row>
    <row r="5" spans="1:3">
      <c r="A5" s="70">
        <v>42795</v>
      </c>
      <c r="B5" s="69">
        <f t="shared" si="0"/>
        <v>42795</v>
      </c>
      <c r="C5" s="68" t="str">
        <f t="shared" si="1"/>
        <v>1 Quarter</v>
      </c>
    </row>
    <row r="6" spans="1:3">
      <c r="A6" s="70">
        <v>42826</v>
      </c>
      <c r="B6" s="69">
        <f t="shared" si="0"/>
        <v>42826</v>
      </c>
      <c r="C6" s="68" t="str">
        <f t="shared" si="1"/>
        <v>2 Quarter</v>
      </c>
    </row>
    <row r="7" spans="1:3">
      <c r="A7" s="70">
        <v>42856</v>
      </c>
      <c r="B7" s="69">
        <f t="shared" si="0"/>
        <v>42856</v>
      </c>
      <c r="C7" s="68" t="str">
        <f t="shared" si="1"/>
        <v>2 Quarter</v>
      </c>
    </row>
    <row r="8" spans="1:3">
      <c r="A8" s="70">
        <v>42887</v>
      </c>
      <c r="B8" s="69">
        <f t="shared" si="0"/>
        <v>42887</v>
      </c>
      <c r="C8" s="68" t="str">
        <f t="shared" si="1"/>
        <v>2 Quarter</v>
      </c>
    </row>
    <row r="9" spans="1:3">
      <c r="A9" s="70">
        <v>42917</v>
      </c>
      <c r="B9" s="69">
        <f t="shared" si="0"/>
        <v>42917</v>
      </c>
      <c r="C9" s="68" t="str">
        <f t="shared" si="1"/>
        <v>3 Quarter</v>
      </c>
    </row>
    <row r="10" spans="1:3">
      <c r="A10" s="70">
        <v>42948</v>
      </c>
      <c r="B10" s="69">
        <f t="shared" si="0"/>
        <v>42948</v>
      </c>
      <c r="C10" s="68" t="str">
        <f t="shared" si="1"/>
        <v>3 Quarter</v>
      </c>
    </row>
    <row r="11" spans="1:3">
      <c r="A11" s="70">
        <v>42979</v>
      </c>
      <c r="B11" s="69">
        <f t="shared" si="0"/>
        <v>42979</v>
      </c>
      <c r="C11" s="68" t="str">
        <f t="shared" si="1"/>
        <v>3 Quarter</v>
      </c>
    </row>
    <row r="12" spans="1:3">
      <c r="A12" s="70">
        <v>43009</v>
      </c>
      <c r="B12" s="69">
        <f t="shared" si="0"/>
        <v>43009</v>
      </c>
      <c r="C12" s="68" t="str">
        <f t="shared" si="1"/>
        <v>4 Quarter</v>
      </c>
    </row>
    <row r="13" spans="1:3">
      <c r="A13" s="70">
        <v>43040</v>
      </c>
      <c r="B13" s="69">
        <f t="shared" si="0"/>
        <v>43040</v>
      </c>
      <c r="C13" s="68" t="str">
        <f t="shared" si="1"/>
        <v>4 Quarter</v>
      </c>
    </row>
    <row r="14" spans="1:3">
      <c r="A14" s="70">
        <v>43070</v>
      </c>
      <c r="B14" s="69">
        <f t="shared" si="0"/>
        <v>43070</v>
      </c>
      <c r="C14" s="68" t="str">
        <f t="shared" si="1"/>
        <v>4 Quarter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F8"/>
  <sheetViews>
    <sheetView zoomScale="200" zoomScaleNormal="200" workbookViewId="0">
      <selection activeCell="C8" sqref="C8"/>
    </sheetView>
  </sheetViews>
  <sheetFormatPr defaultRowHeight="15"/>
  <cols>
    <col min="1" max="1" width="13.5703125" customWidth="1"/>
    <col min="2" max="2" width="14" customWidth="1"/>
    <col min="3" max="3" width="13.5703125" bestFit="1" customWidth="1"/>
    <col min="4" max="4" width="10.7109375" bestFit="1" customWidth="1"/>
    <col min="5" max="5" width="9.7109375" bestFit="1" customWidth="1"/>
    <col min="6" max="6" width="24" customWidth="1"/>
  </cols>
  <sheetData>
    <row r="1" spans="1:6">
      <c r="A1" s="20" t="s">
        <v>237</v>
      </c>
    </row>
    <row r="2" spans="1:6">
      <c r="A2" s="74"/>
      <c r="B2" s="2" t="s">
        <v>236</v>
      </c>
      <c r="C2" s="75">
        <f ca="1">TODAY()</f>
        <v>45651</v>
      </c>
    </row>
    <row r="3" spans="1:6">
      <c r="B3" s="2" t="s">
        <v>235</v>
      </c>
      <c r="C3" s="75">
        <f ca="1">EDATE(C2,1)</f>
        <v>45682</v>
      </c>
    </row>
    <row r="4" spans="1:6">
      <c r="A4" s="19">
        <v>17394</v>
      </c>
      <c r="B4" s="2" t="s">
        <v>234</v>
      </c>
      <c r="C4" s="1">
        <f ca="1">DATEDIF(A4,TODAY(),"y")</f>
        <v>77</v>
      </c>
      <c r="D4" s="1">
        <f ca="1">DATEDIF(A4,TODAY(),"m")</f>
        <v>928</v>
      </c>
      <c r="E4" s="1">
        <f ca="1">DATEDIF(A4,TODAY(),"d")</f>
        <v>28257</v>
      </c>
      <c r="F4" s="1" t="str">
        <f ca="1">DATEDIF(A4,TODAY(),"y")&amp;" Years "&amp;DATEDIF(A4,TODAY(),"ym")&amp;" Months "&amp;DATEDIF(A4,TODAY(),"md")&amp;" Days"</f>
        <v>77 Years 4 Months 10 Days</v>
      </c>
    </row>
    <row r="5" spans="1:6">
      <c r="A5" s="74"/>
    </row>
    <row r="6" spans="1:6">
      <c r="A6" s="73" t="s">
        <v>233</v>
      </c>
    </row>
    <row r="7" spans="1:6">
      <c r="A7" s="19" t="s">
        <v>232</v>
      </c>
      <c r="B7" s="1" t="s">
        <v>231</v>
      </c>
      <c r="C7" s="1" t="s">
        <v>231</v>
      </c>
    </row>
    <row r="8" spans="1:6">
      <c r="A8" s="19">
        <v>43617</v>
      </c>
      <c r="B8" s="19">
        <f>EDATE(A8,12)</f>
        <v>43983</v>
      </c>
      <c r="C8" s="19">
        <f>A8+365</f>
        <v>43982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G11"/>
  <sheetViews>
    <sheetView zoomScale="190" zoomScaleNormal="190" workbookViewId="0">
      <selection activeCell="C2" sqref="C2"/>
    </sheetView>
  </sheetViews>
  <sheetFormatPr defaultRowHeight="15"/>
  <cols>
    <col min="1" max="1" width="14.85546875" customWidth="1"/>
    <col min="2" max="2" width="18.5703125" customWidth="1"/>
    <col min="3" max="3" width="14.28515625" customWidth="1"/>
  </cols>
  <sheetData>
    <row r="1" spans="1:7">
      <c r="A1" s="76" t="s">
        <v>229</v>
      </c>
      <c r="B1" s="76" t="s">
        <v>238</v>
      </c>
      <c r="C1" s="76" t="s">
        <v>229</v>
      </c>
    </row>
    <row r="2" spans="1:7">
      <c r="A2" s="19">
        <v>42036</v>
      </c>
      <c r="B2" s="1" t="str">
        <f>TEXT(A2,"dd/mm/yyyy")</f>
        <v>01/02/2015</v>
      </c>
      <c r="C2" s="19">
        <f>DATE(YEAR(B2),MONTH(B2),DAY(B2))</f>
        <v>42036</v>
      </c>
      <c r="E2" t="str">
        <f>TEXT(A2,"MMM")</f>
        <v>Feb</v>
      </c>
      <c r="F2" t="str">
        <f>TEXT(A2,"DDD")</f>
        <v>Sun</v>
      </c>
      <c r="G2" t="str">
        <f>TEXT(A2,"YY")</f>
        <v>15</v>
      </c>
    </row>
    <row r="3" spans="1:7">
      <c r="A3" s="19">
        <v>42037</v>
      </c>
      <c r="B3" s="1" t="str">
        <f t="shared" ref="B3:B11" si="0">TEXT(A3,"dd/mm/yyyy")</f>
        <v>02/02/2015</v>
      </c>
      <c r="C3" s="19">
        <f t="shared" ref="C3:C11" si="1">DATE(YEAR(B3),MONTH(B3),DAY(B3))</f>
        <v>42037</v>
      </c>
      <c r="E3" t="str">
        <f t="shared" ref="E3:E11" si="2">TEXT(A3,"MMM")</f>
        <v>Feb</v>
      </c>
      <c r="F3" t="str">
        <f t="shared" ref="F3:F11" si="3">TEXT(A3,"DDD")</f>
        <v>Mon</v>
      </c>
    </row>
    <row r="4" spans="1:7">
      <c r="A4" s="19">
        <v>42038</v>
      </c>
      <c r="B4" s="1" t="str">
        <f t="shared" si="0"/>
        <v>03/02/2015</v>
      </c>
      <c r="C4" s="19">
        <f t="shared" si="1"/>
        <v>42038</v>
      </c>
      <c r="E4" t="str">
        <f t="shared" si="2"/>
        <v>Feb</v>
      </c>
      <c r="F4" t="str">
        <f t="shared" si="3"/>
        <v>Tue</v>
      </c>
    </row>
    <row r="5" spans="1:7">
      <c r="A5" s="19">
        <v>42039</v>
      </c>
      <c r="B5" s="1" t="str">
        <f t="shared" si="0"/>
        <v>04/02/2015</v>
      </c>
      <c r="C5" s="19">
        <f t="shared" si="1"/>
        <v>42039</v>
      </c>
      <c r="E5" t="str">
        <f t="shared" si="2"/>
        <v>Feb</v>
      </c>
      <c r="F5" t="str">
        <f t="shared" si="3"/>
        <v>Wed</v>
      </c>
    </row>
    <row r="6" spans="1:7">
      <c r="A6" s="19">
        <v>42040</v>
      </c>
      <c r="B6" s="1" t="str">
        <f t="shared" si="0"/>
        <v>05/02/2015</v>
      </c>
      <c r="C6" s="19">
        <f t="shared" si="1"/>
        <v>42040</v>
      </c>
      <c r="E6" t="str">
        <f t="shared" si="2"/>
        <v>Feb</v>
      </c>
      <c r="F6" t="str">
        <f t="shared" si="3"/>
        <v>Thu</v>
      </c>
    </row>
    <row r="7" spans="1:7">
      <c r="A7" s="19">
        <v>42041</v>
      </c>
      <c r="B7" s="1" t="str">
        <f t="shared" si="0"/>
        <v>06/02/2015</v>
      </c>
      <c r="C7" s="19">
        <f t="shared" si="1"/>
        <v>42041</v>
      </c>
      <c r="E7" t="str">
        <f t="shared" si="2"/>
        <v>Feb</v>
      </c>
      <c r="F7" t="str">
        <f t="shared" si="3"/>
        <v>Fri</v>
      </c>
    </row>
    <row r="8" spans="1:7">
      <c r="A8" s="19">
        <v>42042</v>
      </c>
      <c r="B8" s="1" t="str">
        <f t="shared" si="0"/>
        <v>07/02/2015</v>
      </c>
      <c r="C8" s="19">
        <f t="shared" si="1"/>
        <v>42042</v>
      </c>
      <c r="E8" t="str">
        <f t="shared" si="2"/>
        <v>Feb</v>
      </c>
      <c r="F8" t="str">
        <f t="shared" si="3"/>
        <v>Sat</v>
      </c>
    </row>
    <row r="9" spans="1:7">
      <c r="A9" s="19">
        <v>42043</v>
      </c>
      <c r="B9" s="1" t="str">
        <f t="shared" si="0"/>
        <v>08/02/2015</v>
      </c>
      <c r="C9" s="19">
        <f t="shared" si="1"/>
        <v>42043</v>
      </c>
      <c r="E9" t="str">
        <f t="shared" si="2"/>
        <v>Feb</v>
      </c>
      <c r="F9" t="str">
        <f t="shared" si="3"/>
        <v>Sun</v>
      </c>
    </row>
    <row r="10" spans="1:7">
      <c r="A10" s="19">
        <v>42044</v>
      </c>
      <c r="B10" s="1" t="str">
        <f t="shared" si="0"/>
        <v>09/02/2015</v>
      </c>
      <c r="C10" s="19">
        <f t="shared" si="1"/>
        <v>42044</v>
      </c>
      <c r="E10" t="str">
        <f t="shared" si="2"/>
        <v>Feb</v>
      </c>
      <c r="F10" t="str">
        <f t="shared" si="3"/>
        <v>Mon</v>
      </c>
    </row>
    <row r="11" spans="1:7">
      <c r="A11" s="19">
        <v>42045</v>
      </c>
      <c r="B11" s="1" t="str">
        <f t="shared" si="0"/>
        <v>10/02/2015</v>
      </c>
      <c r="C11" s="19">
        <f t="shared" si="1"/>
        <v>42045</v>
      </c>
      <c r="E11" t="str">
        <f t="shared" si="2"/>
        <v>Feb</v>
      </c>
      <c r="F11" t="str">
        <f t="shared" si="3"/>
        <v>Tue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G11"/>
  <sheetViews>
    <sheetView zoomScale="175" zoomScaleNormal="175" workbookViewId="0">
      <selection activeCell="F3" sqref="F3"/>
    </sheetView>
  </sheetViews>
  <sheetFormatPr defaultRowHeight="15"/>
  <cols>
    <col min="1" max="1" width="12.140625" bestFit="1" customWidth="1"/>
    <col min="2" max="2" width="14.85546875" bestFit="1" customWidth="1"/>
    <col min="3" max="3" width="11.140625" bestFit="1" customWidth="1"/>
    <col min="6" max="7" width="11.140625" bestFit="1" customWidth="1"/>
  </cols>
  <sheetData>
    <row r="1" spans="1:7">
      <c r="A1" s="76" t="s">
        <v>229</v>
      </c>
      <c r="B1" s="76" t="s">
        <v>238</v>
      </c>
      <c r="C1" s="76" t="s">
        <v>241</v>
      </c>
      <c r="D1" s="76" t="s">
        <v>228</v>
      </c>
      <c r="E1" s="76" t="s">
        <v>229</v>
      </c>
      <c r="F1" s="76" t="s">
        <v>240</v>
      </c>
      <c r="G1" s="76" t="s">
        <v>239</v>
      </c>
    </row>
    <row r="2" spans="1:7">
      <c r="A2" s="83">
        <v>42036</v>
      </c>
      <c r="B2" s="1" t="str">
        <f t="shared" ref="B2:B11" si="0">TEXT(A2,"DD/MM/YYYY")</f>
        <v>01/02/2015</v>
      </c>
      <c r="C2" s="1">
        <f t="shared" ref="C2:C11" si="1">YEAR(B2)</f>
        <v>2015</v>
      </c>
      <c r="D2" s="1">
        <f t="shared" ref="D2:D11" si="2">MONTH(B2)</f>
        <v>2</v>
      </c>
      <c r="E2" s="1">
        <f t="shared" ref="E2:E11" si="3">DAY(B2)</f>
        <v>1</v>
      </c>
      <c r="F2" s="19">
        <f>DATE(C2,E2,D2)</f>
        <v>42006</v>
      </c>
      <c r="G2" s="75">
        <f>F2</f>
        <v>42006</v>
      </c>
    </row>
    <row r="3" spans="1:7">
      <c r="A3" s="83">
        <v>42037</v>
      </c>
      <c r="B3" s="1" t="str">
        <f t="shared" si="0"/>
        <v>02/02/2015</v>
      </c>
      <c r="C3" s="1">
        <f t="shared" si="1"/>
        <v>2015</v>
      </c>
      <c r="D3" s="1">
        <f t="shared" si="2"/>
        <v>2</v>
      </c>
      <c r="E3" s="1">
        <f t="shared" si="3"/>
        <v>2</v>
      </c>
      <c r="F3" s="19">
        <f t="shared" ref="F3:F11" si="4">DATE(C3,E3,D3)</f>
        <v>42037</v>
      </c>
      <c r="G3" s="75">
        <f t="shared" ref="G3:G11" si="5">F3</f>
        <v>42037</v>
      </c>
    </row>
    <row r="4" spans="1:7">
      <c r="A4" s="83">
        <v>42038</v>
      </c>
      <c r="B4" s="1" t="str">
        <f t="shared" si="0"/>
        <v>03/02/2015</v>
      </c>
      <c r="C4" s="1">
        <f t="shared" si="1"/>
        <v>2015</v>
      </c>
      <c r="D4" s="1">
        <f t="shared" si="2"/>
        <v>2</v>
      </c>
      <c r="E4" s="1">
        <f t="shared" si="3"/>
        <v>3</v>
      </c>
      <c r="F4" s="19">
        <f t="shared" si="4"/>
        <v>42065</v>
      </c>
      <c r="G4" s="75">
        <f t="shared" si="5"/>
        <v>42065</v>
      </c>
    </row>
    <row r="5" spans="1:7">
      <c r="A5" s="83">
        <v>42039</v>
      </c>
      <c r="B5" s="1" t="str">
        <f t="shared" si="0"/>
        <v>04/02/2015</v>
      </c>
      <c r="C5" s="1">
        <f t="shared" si="1"/>
        <v>2015</v>
      </c>
      <c r="D5" s="1">
        <f t="shared" si="2"/>
        <v>2</v>
      </c>
      <c r="E5" s="1">
        <f t="shared" si="3"/>
        <v>4</v>
      </c>
      <c r="F5" s="19">
        <f t="shared" si="4"/>
        <v>42096</v>
      </c>
      <c r="G5" s="75">
        <f t="shared" si="5"/>
        <v>42096</v>
      </c>
    </row>
    <row r="6" spans="1:7">
      <c r="A6" s="83">
        <v>42040</v>
      </c>
      <c r="B6" s="1" t="str">
        <f t="shared" si="0"/>
        <v>05/02/2015</v>
      </c>
      <c r="C6" s="1">
        <f t="shared" si="1"/>
        <v>2015</v>
      </c>
      <c r="D6" s="1">
        <f t="shared" si="2"/>
        <v>2</v>
      </c>
      <c r="E6" s="1">
        <f t="shared" si="3"/>
        <v>5</v>
      </c>
      <c r="F6" s="19">
        <f t="shared" si="4"/>
        <v>42126</v>
      </c>
      <c r="G6" s="75">
        <f t="shared" si="5"/>
        <v>42126</v>
      </c>
    </row>
    <row r="7" spans="1:7">
      <c r="A7" s="83">
        <v>42041</v>
      </c>
      <c r="B7" s="1" t="str">
        <f t="shared" si="0"/>
        <v>06/02/2015</v>
      </c>
      <c r="C7" s="1">
        <f t="shared" si="1"/>
        <v>2015</v>
      </c>
      <c r="D7" s="1">
        <f t="shared" si="2"/>
        <v>2</v>
      </c>
      <c r="E7" s="1">
        <f t="shared" si="3"/>
        <v>6</v>
      </c>
      <c r="F7" s="19">
        <f t="shared" si="4"/>
        <v>42157</v>
      </c>
      <c r="G7" s="75">
        <f t="shared" si="5"/>
        <v>42157</v>
      </c>
    </row>
    <row r="8" spans="1:7">
      <c r="A8" s="83">
        <v>42042</v>
      </c>
      <c r="B8" s="1" t="str">
        <f t="shared" si="0"/>
        <v>07/02/2015</v>
      </c>
      <c r="C8" s="1">
        <f t="shared" si="1"/>
        <v>2015</v>
      </c>
      <c r="D8" s="1">
        <f t="shared" si="2"/>
        <v>2</v>
      </c>
      <c r="E8" s="1">
        <f t="shared" si="3"/>
        <v>7</v>
      </c>
      <c r="F8" s="19">
        <f t="shared" si="4"/>
        <v>42187</v>
      </c>
      <c r="G8" s="75">
        <f t="shared" si="5"/>
        <v>42187</v>
      </c>
    </row>
    <row r="9" spans="1:7">
      <c r="A9" s="83">
        <v>42043</v>
      </c>
      <c r="B9" s="1" t="str">
        <f t="shared" si="0"/>
        <v>08/02/2015</v>
      </c>
      <c r="C9" s="1">
        <f t="shared" si="1"/>
        <v>2015</v>
      </c>
      <c r="D9" s="1">
        <f t="shared" si="2"/>
        <v>2</v>
      </c>
      <c r="E9" s="1">
        <f t="shared" si="3"/>
        <v>8</v>
      </c>
      <c r="F9" s="19">
        <f t="shared" si="4"/>
        <v>42218</v>
      </c>
      <c r="G9" s="75">
        <f t="shared" si="5"/>
        <v>42218</v>
      </c>
    </row>
    <row r="10" spans="1:7">
      <c r="A10" s="83">
        <v>42044</v>
      </c>
      <c r="B10" s="1" t="str">
        <f t="shared" si="0"/>
        <v>09/02/2015</v>
      </c>
      <c r="C10" s="1">
        <f t="shared" si="1"/>
        <v>2015</v>
      </c>
      <c r="D10" s="1">
        <f t="shared" si="2"/>
        <v>2</v>
      </c>
      <c r="E10" s="1">
        <f t="shared" si="3"/>
        <v>9</v>
      </c>
      <c r="F10" s="19">
        <f t="shared" si="4"/>
        <v>42249</v>
      </c>
      <c r="G10" s="75">
        <f t="shared" si="5"/>
        <v>42249</v>
      </c>
    </row>
    <row r="11" spans="1:7">
      <c r="A11" s="83">
        <v>42045</v>
      </c>
      <c r="B11" s="1" t="str">
        <f t="shared" si="0"/>
        <v>10/02/2015</v>
      </c>
      <c r="C11" s="1">
        <f t="shared" si="1"/>
        <v>2015</v>
      </c>
      <c r="D11" s="1">
        <f t="shared" si="2"/>
        <v>2</v>
      </c>
      <c r="E11" s="1">
        <f t="shared" si="3"/>
        <v>10</v>
      </c>
      <c r="F11" s="19">
        <f t="shared" si="4"/>
        <v>42279</v>
      </c>
      <c r="G11" s="75">
        <f t="shared" si="5"/>
        <v>42279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C11"/>
  <sheetViews>
    <sheetView zoomScale="175" zoomScaleNormal="175" workbookViewId="0">
      <selection activeCell="C2" sqref="C2:C11"/>
    </sheetView>
  </sheetViews>
  <sheetFormatPr defaultRowHeight="15"/>
  <cols>
    <col min="1" max="1" width="11.140625" bestFit="1" customWidth="1"/>
    <col min="2" max="2" width="11.140625" customWidth="1"/>
    <col min="3" max="3" width="16.5703125" bestFit="1" customWidth="1"/>
  </cols>
  <sheetData>
    <row r="1" spans="1:3">
      <c r="A1" s="76" t="s">
        <v>229</v>
      </c>
      <c r="B1" s="76" t="s">
        <v>252</v>
      </c>
      <c r="C1" s="76" t="s">
        <v>238</v>
      </c>
    </row>
    <row r="2" spans="1:3">
      <c r="A2" s="19">
        <v>42036</v>
      </c>
      <c r="B2" s="19" t="s">
        <v>251</v>
      </c>
      <c r="C2" s="1" t="str">
        <f>B2&amp;" "&amp;TEXT(A2,"DD/MM/YYYY")</f>
        <v>ABC 01/02/2015</v>
      </c>
    </row>
    <row r="3" spans="1:3">
      <c r="A3" s="19">
        <v>42037</v>
      </c>
      <c r="B3" s="19" t="s">
        <v>250</v>
      </c>
      <c r="C3" s="1" t="str">
        <f t="shared" ref="C3:C11" si="0">B3&amp;" "&amp;TEXT(A3,"DD/MM/YYYY")</f>
        <v>XYZ 02/02/2015</v>
      </c>
    </row>
    <row r="4" spans="1:3">
      <c r="A4" s="19">
        <v>42038</v>
      </c>
      <c r="B4" s="19" t="s">
        <v>249</v>
      </c>
      <c r="C4" s="1" t="str">
        <f t="shared" si="0"/>
        <v>PCB 03/02/2015</v>
      </c>
    </row>
    <row r="5" spans="1:3">
      <c r="A5" s="19">
        <v>42039</v>
      </c>
      <c r="B5" s="19" t="s">
        <v>248</v>
      </c>
      <c r="C5" s="1" t="str">
        <f t="shared" si="0"/>
        <v>TRT 04/02/2015</v>
      </c>
    </row>
    <row r="6" spans="1:3">
      <c r="A6" s="19">
        <v>42040</v>
      </c>
      <c r="B6" s="19" t="s">
        <v>247</v>
      </c>
      <c r="C6" s="1" t="str">
        <f t="shared" si="0"/>
        <v>KRK 05/02/2015</v>
      </c>
    </row>
    <row r="7" spans="1:3">
      <c r="A7" s="19">
        <v>42041</v>
      </c>
      <c r="B7" s="19" t="s">
        <v>246</v>
      </c>
      <c r="C7" s="1" t="str">
        <f t="shared" si="0"/>
        <v>LLT 06/02/2015</v>
      </c>
    </row>
    <row r="8" spans="1:3">
      <c r="A8" s="19">
        <v>42042</v>
      </c>
      <c r="B8" s="19" t="s">
        <v>245</v>
      </c>
      <c r="C8" s="1" t="str">
        <f t="shared" si="0"/>
        <v>DDT 07/02/2015</v>
      </c>
    </row>
    <row r="9" spans="1:3">
      <c r="A9" s="19">
        <v>42043</v>
      </c>
      <c r="B9" s="19" t="s">
        <v>244</v>
      </c>
      <c r="C9" s="1" t="str">
        <f t="shared" si="0"/>
        <v>AXZ 08/02/2015</v>
      </c>
    </row>
    <row r="10" spans="1:3">
      <c r="A10" s="19">
        <v>42044</v>
      </c>
      <c r="B10" s="19" t="s">
        <v>243</v>
      </c>
      <c r="C10" s="1" t="str">
        <f t="shared" si="0"/>
        <v>DFA 09/02/2015</v>
      </c>
    </row>
    <row r="11" spans="1:3">
      <c r="A11" s="19">
        <v>42045</v>
      </c>
      <c r="B11" s="19" t="s">
        <v>242</v>
      </c>
      <c r="C11" s="1" t="str">
        <f t="shared" si="0"/>
        <v>DFS 10/02/2015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J13"/>
  <sheetViews>
    <sheetView topLeftCell="C1" zoomScale="145" zoomScaleNormal="145" workbookViewId="0">
      <selection activeCell="F3" sqref="F3"/>
    </sheetView>
  </sheetViews>
  <sheetFormatPr defaultRowHeight="15"/>
  <cols>
    <col min="1" max="1" width="11.140625" bestFit="1" customWidth="1"/>
    <col min="2" max="2" width="11.140625" customWidth="1"/>
    <col min="3" max="3" width="16.5703125" bestFit="1" customWidth="1"/>
    <col min="4" max="4" width="23.42578125" style="74" bestFit="1" customWidth="1"/>
    <col min="5" max="5" width="30.140625" bestFit="1" customWidth="1"/>
    <col min="6" max="6" width="11.85546875" bestFit="1" customWidth="1"/>
    <col min="10" max="10" width="11.140625" customWidth="1"/>
  </cols>
  <sheetData>
    <row r="1" spans="1:10">
      <c r="A1" s="76" t="s">
        <v>229</v>
      </c>
      <c r="B1" s="76" t="s">
        <v>256</v>
      </c>
      <c r="C1" s="76" t="s">
        <v>256</v>
      </c>
      <c r="D1" s="80" t="s">
        <v>255</v>
      </c>
      <c r="E1" s="79" t="s">
        <v>254</v>
      </c>
      <c r="F1" s="79" t="s">
        <v>253</v>
      </c>
      <c r="H1" s="1">
        <v>15</v>
      </c>
    </row>
    <row r="2" spans="1:10">
      <c r="A2" s="19">
        <v>43770</v>
      </c>
      <c r="B2" s="78">
        <f t="shared" ref="B2:B11" si="0">DAY(A2)</f>
        <v>1</v>
      </c>
      <c r="C2" s="77">
        <f t="shared" ref="C2:C11" si="1">DAY(A2)</f>
        <v>1</v>
      </c>
      <c r="D2" s="19">
        <f>EOMONTH(A2,0)</f>
        <v>43799</v>
      </c>
      <c r="E2" s="19">
        <f>EOMONTH(A2,0)+1</f>
        <v>43800</v>
      </c>
      <c r="F2" s="19">
        <f>WORKDAY.INTL(E13,H1,1,J3:J4)</f>
        <v>43977</v>
      </c>
    </row>
    <row r="3" spans="1:10">
      <c r="A3" s="19">
        <v>43590</v>
      </c>
      <c r="B3" s="78">
        <f t="shared" si="0"/>
        <v>5</v>
      </c>
      <c r="C3" s="77">
        <f t="shared" si="1"/>
        <v>5</v>
      </c>
      <c r="D3" s="19">
        <f t="shared" ref="D3:D11" si="2">EOMONTH(A3,0)</f>
        <v>43616</v>
      </c>
      <c r="E3" s="19">
        <f t="shared" ref="E3:E11" si="3">EOMONTH(A3,0)+1</f>
        <v>43617</v>
      </c>
      <c r="F3" s="1"/>
      <c r="J3" s="74">
        <v>43962</v>
      </c>
    </row>
    <row r="4" spans="1:10">
      <c r="A4" s="19">
        <v>43772</v>
      </c>
      <c r="B4" s="78">
        <f t="shared" si="0"/>
        <v>3</v>
      </c>
      <c r="C4" s="77">
        <f t="shared" si="1"/>
        <v>3</v>
      </c>
      <c r="D4" s="19">
        <f>EOMONTH(A4,0)</f>
        <v>43799</v>
      </c>
      <c r="E4" s="19">
        <f t="shared" si="3"/>
        <v>43800</v>
      </c>
      <c r="F4" s="19"/>
      <c r="J4" s="74">
        <v>43963</v>
      </c>
    </row>
    <row r="5" spans="1:10">
      <c r="A5" s="19">
        <v>43773</v>
      </c>
      <c r="B5" s="78">
        <f t="shared" si="0"/>
        <v>4</v>
      </c>
      <c r="C5" s="77">
        <f t="shared" si="1"/>
        <v>4</v>
      </c>
      <c r="D5" s="19">
        <f t="shared" si="2"/>
        <v>43799</v>
      </c>
      <c r="E5" s="19">
        <f t="shared" si="3"/>
        <v>43800</v>
      </c>
      <c r="F5" s="19"/>
    </row>
    <row r="6" spans="1:10">
      <c r="A6" s="19">
        <v>43774</v>
      </c>
      <c r="B6" s="78">
        <f t="shared" si="0"/>
        <v>5</v>
      </c>
      <c r="C6" s="77">
        <f t="shared" si="1"/>
        <v>5</v>
      </c>
      <c r="D6" s="19">
        <f t="shared" si="2"/>
        <v>43799</v>
      </c>
      <c r="E6" s="19">
        <f t="shared" si="3"/>
        <v>43800</v>
      </c>
      <c r="F6" s="1"/>
    </row>
    <row r="7" spans="1:10">
      <c r="A7" s="19">
        <v>43775</v>
      </c>
      <c r="B7" s="78">
        <f t="shared" si="0"/>
        <v>6</v>
      </c>
      <c r="C7" s="77">
        <f t="shared" si="1"/>
        <v>6</v>
      </c>
      <c r="D7" s="19">
        <f t="shared" si="2"/>
        <v>43799</v>
      </c>
      <c r="E7" s="19">
        <f t="shared" si="3"/>
        <v>43800</v>
      </c>
      <c r="F7" s="1"/>
    </row>
    <row r="8" spans="1:10">
      <c r="A8" s="19">
        <v>43776</v>
      </c>
      <c r="B8" s="78">
        <f t="shared" si="0"/>
        <v>7</v>
      </c>
      <c r="C8" s="77">
        <f t="shared" si="1"/>
        <v>7</v>
      </c>
      <c r="D8" s="19">
        <f t="shared" si="2"/>
        <v>43799</v>
      </c>
      <c r="E8" s="19">
        <f t="shared" si="3"/>
        <v>43800</v>
      </c>
      <c r="F8" s="1"/>
    </row>
    <row r="9" spans="1:10">
      <c r="A9" s="19">
        <v>43777</v>
      </c>
      <c r="B9" s="78">
        <f t="shared" si="0"/>
        <v>8</v>
      </c>
      <c r="C9" s="77">
        <f t="shared" si="1"/>
        <v>8</v>
      </c>
      <c r="D9" s="19">
        <f t="shared" si="2"/>
        <v>43799</v>
      </c>
      <c r="E9" s="19">
        <f t="shared" si="3"/>
        <v>43800</v>
      </c>
      <c r="F9" s="1"/>
    </row>
    <row r="10" spans="1:10">
      <c r="A10" s="19">
        <v>43778</v>
      </c>
      <c r="B10" s="78">
        <f t="shared" si="0"/>
        <v>9</v>
      </c>
      <c r="C10" s="77">
        <f t="shared" si="1"/>
        <v>9</v>
      </c>
      <c r="D10" s="19">
        <f t="shared" si="2"/>
        <v>43799</v>
      </c>
      <c r="E10" s="19">
        <f t="shared" si="3"/>
        <v>43800</v>
      </c>
      <c r="F10" s="1"/>
    </row>
    <row r="11" spans="1:10">
      <c r="A11" s="19">
        <v>43779</v>
      </c>
      <c r="B11" s="78">
        <f t="shared" si="0"/>
        <v>10</v>
      </c>
      <c r="C11" s="77">
        <f t="shared" si="1"/>
        <v>10</v>
      </c>
      <c r="D11" s="19">
        <f t="shared" si="2"/>
        <v>43799</v>
      </c>
      <c r="E11" s="19">
        <f t="shared" si="3"/>
        <v>43800</v>
      </c>
      <c r="F11" s="1"/>
    </row>
    <row r="13" spans="1:10">
      <c r="E13" s="74">
        <v>43952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G6"/>
  <sheetViews>
    <sheetView zoomScale="175" zoomScaleNormal="175" workbookViewId="0">
      <selection activeCell="C13" sqref="C13"/>
    </sheetView>
  </sheetViews>
  <sheetFormatPr defaultRowHeight="15"/>
  <cols>
    <col min="1" max="1" width="21.5703125" bestFit="1" customWidth="1"/>
    <col min="4" max="4" width="14.5703125" customWidth="1"/>
    <col min="5" max="5" width="21.5703125" bestFit="1" customWidth="1"/>
  </cols>
  <sheetData>
    <row r="1" spans="1:7">
      <c r="A1" s="1" t="s">
        <v>198</v>
      </c>
      <c r="B1" s="1" t="s">
        <v>258</v>
      </c>
      <c r="C1" s="1" t="s">
        <v>257</v>
      </c>
      <c r="E1" s="1" t="s">
        <v>198</v>
      </c>
      <c r="F1" s="1" t="s">
        <v>258</v>
      </c>
    </row>
    <row r="2" spans="1:7">
      <c r="A2" s="51" t="s">
        <v>193</v>
      </c>
      <c r="B2" s="1">
        <v>75</v>
      </c>
      <c r="C2" s="1">
        <f>RANK(B2,$B$2:$B$6,FALSE)</f>
        <v>2</v>
      </c>
      <c r="D2">
        <f>LARGE($B$2:$B$6,ROW()-1)</f>
        <v>99</v>
      </c>
      <c r="E2" s="51" t="s">
        <v>195</v>
      </c>
      <c r="F2" s="1">
        <v>99</v>
      </c>
      <c r="G2">
        <v>1</v>
      </c>
    </row>
    <row r="3" spans="1:7">
      <c r="A3" s="51" t="s">
        <v>194</v>
      </c>
      <c r="B3" s="1">
        <v>36</v>
      </c>
      <c r="C3" s="1">
        <f t="shared" ref="C3:C6" si="0">RANK(B3,$B$2:$B$6,FALSE)</f>
        <v>3</v>
      </c>
      <c r="D3">
        <f t="shared" ref="D3:D6" si="1">LARGE($B$2:$B$6,ROW()-1)</f>
        <v>75</v>
      </c>
      <c r="E3" s="51" t="s">
        <v>193</v>
      </c>
      <c r="F3" s="1">
        <v>75</v>
      </c>
      <c r="G3">
        <v>2</v>
      </c>
    </row>
    <row r="4" spans="1:7">
      <c r="A4" s="51" t="s">
        <v>196</v>
      </c>
      <c r="B4" s="1">
        <v>25</v>
      </c>
      <c r="C4" s="1">
        <f t="shared" si="0"/>
        <v>5</v>
      </c>
      <c r="D4">
        <f t="shared" si="1"/>
        <v>36</v>
      </c>
      <c r="E4" s="51" t="s">
        <v>194</v>
      </c>
      <c r="F4" s="1">
        <v>36</v>
      </c>
      <c r="G4">
        <v>3</v>
      </c>
    </row>
    <row r="5" spans="1:7">
      <c r="A5" s="51" t="s">
        <v>195</v>
      </c>
      <c r="B5" s="1">
        <v>99</v>
      </c>
      <c r="C5" s="1">
        <f t="shared" si="0"/>
        <v>1</v>
      </c>
      <c r="D5">
        <f t="shared" si="1"/>
        <v>35</v>
      </c>
      <c r="E5" s="51" t="s">
        <v>196</v>
      </c>
      <c r="F5" s="1">
        <v>25</v>
      </c>
      <c r="G5">
        <v>4</v>
      </c>
    </row>
    <row r="6" spans="1:7">
      <c r="A6" s="51" t="s">
        <v>197</v>
      </c>
      <c r="B6" s="1">
        <v>35</v>
      </c>
      <c r="C6" s="1">
        <f t="shared" si="0"/>
        <v>4</v>
      </c>
      <c r="D6">
        <f t="shared" si="1"/>
        <v>25</v>
      </c>
      <c r="E6" s="51" t="s">
        <v>197</v>
      </c>
      <c r="F6" s="1">
        <v>25</v>
      </c>
      <c r="G6">
        <v>5</v>
      </c>
    </row>
  </sheetData>
  <sortState ref="E2:F6">
    <sortCondition descending="1" ref="F2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7"/>
  <sheetViews>
    <sheetView zoomScale="190" zoomScaleNormal="190" workbookViewId="0">
      <selection activeCell="E10" sqref="E10"/>
    </sheetView>
  </sheetViews>
  <sheetFormatPr defaultRowHeight="15"/>
  <cols>
    <col min="1" max="1" width="12.140625" bestFit="1" customWidth="1"/>
    <col min="2" max="2" width="7.140625" bestFit="1" customWidth="1"/>
    <col min="3" max="3" width="10.28515625" customWidth="1"/>
    <col min="4" max="4" width="13" customWidth="1"/>
    <col min="9" max="9" width="12.42578125" bestFit="1" customWidth="1"/>
  </cols>
  <sheetData>
    <row r="1" spans="1:9">
      <c r="A1" s="1" t="s">
        <v>275</v>
      </c>
      <c r="B1" s="1" t="s">
        <v>273</v>
      </c>
      <c r="C1" s="1" t="s">
        <v>276</v>
      </c>
      <c r="D1" s="1" t="s">
        <v>281</v>
      </c>
      <c r="E1" s="1" t="s">
        <v>274</v>
      </c>
      <c r="G1" s="1" t="s">
        <v>273</v>
      </c>
      <c r="H1" s="1" t="s">
        <v>276</v>
      </c>
      <c r="I1" s="84" t="s">
        <v>274</v>
      </c>
    </row>
    <row r="2" spans="1:9">
      <c r="A2" s="1">
        <v>1002</v>
      </c>
      <c r="B2" s="51" t="s">
        <v>28</v>
      </c>
      <c r="C2" s="51" t="s">
        <v>278</v>
      </c>
      <c r="D2" s="51" t="str">
        <f>CONCATENATE(B2,C2)</f>
        <v>TallyMumbai</v>
      </c>
      <c r="E2" s="1">
        <v>5000</v>
      </c>
      <c r="G2" s="1" t="s">
        <v>28</v>
      </c>
      <c r="H2" s="1" t="s">
        <v>277</v>
      </c>
      <c r="I2" s="1">
        <f>VLOOKUP(CONCATENATE(G2,H2),D1:E7,2,0)</f>
        <v>3500</v>
      </c>
    </row>
    <row r="3" spans="1:9">
      <c r="A3" s="1">
        <v>1005</v>
      </c>
      <c r="B3" s="51" t="s">
        <v>29</v>
      </c>
      <c r="C3" s="51" t="s">
        <v>278</v>
      </c>
      <c r="D3" s="51" t="str">
        <f t="shared" ref="D3:D7" si="0">CONCATENATE(B3,C3)</f>
        <v>ExcelMumbai</v>
      </c>
      <c r="E3" s="1">
        <v>6000</v>
      </c>
    </row>
    <row r="4" spans="1:9">
      <c r="A4" s="1">
        <v>1002</v>
      </c>
      <c r="B4" s="51" t="s">
        <v>28</v>
      </c>
      <c r="C4" s="51" t="s">
        <v>277</v>
      </c>
      <c r="D4" s="51" t="str">
        <f t="shared" si="0"/>
        <v>TallyNagpur</v>
      </c>
      <c r="E4" s="1">
        <v>3500</v>
      </c>
    </row>
    <row r="5" spans="1:9">
      <c r="A5" s="1">
        <v>1002</v>
      </c>
      <c r="B5" s="51" t="s">
        <v>28</v>
      </c>
      <c r="C5" s="51" t="s">
        <v>279</v>
      </c>
      <c r="D5" s="51" t="str">
        <f t="shared" si="0"/>
        <v>TallyDelhi</v>
      </c>
      <c r="E5" s="1">
        <v>3500</v>
      </c>
    </row>
    <row r="6" spans="1:9">
      <c r="A6" s="1">
        <v>1005</v>
      </c>
      <c r="B6" s="51" t="s">
        <v>29</v>
      </c>
      <c r="C6" s="51" t="s">
        <v>280</v>
      </c>
      <c r="D6" s="51" t="str">
        <f t="shared" si="0"/>
        <v>ExcelPune</v>
      </c>
      <c r="E6" s="1">
        <v>15000</v>
      </c>
    </row>
    <row r="7" spans="1:9">
      <c r="A7" s="84">
        <v>1002</v>
      </c>
      <c r="B7" s="85" t="s">
        <v>28</v>
      </c>
      <c r="C7" s="85" t="s">
        <v>280</v>
      </c>
      <c r="D7" s="51" t="str">
        <f t="shared" si="0"/>
        <v>TallyPune</v>
      </c>
      <c r="E7" s="1">
        <v>6000</v>
      </c>
    </row>
  </sheetData>
  <dataValidations count="2">
    <dataValidation type="list" allowBlank="1" showInputMessage="1" showErrorMessage="1" sqref="G2" xr:uid="{00000000-0002-0000-1B00-000000000000}">
      <formula1>$B$1:$B$3</formula1>
    </dataValidation>
    <dataValidation type="list" allowBlank="1" showInputMessage="1" showErrorMessage="1" sqref="H2" xr:uid="{00000000-0002-0000-1B00-000001000000}">
      <formula1>$C$1:$C$7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12"/>
  <sheetViews>
    <sheetView zoomScale="145" zoomScaleNormal="145" workbookViewId="0">
      <selection activeCell="G8" sqref="G8"/>
    </sheetView>
  </sheetViews>
  <sheetFormatPr defaultRowHeight="15"/>
  <sheetData>
    <row r="1" spans="1:1">
      <c r="A1" t="s">
        <v>221</v>
      </c>
    </row>
    <row r="2" spans="1:1">
      <c r="A2" t="s">
        <v>220</v>
      </c>
    </row>
    <row r="3" spans="1:1">
      <c r="A3" t="s">
        <v>219</v>
      </c>
    </row>
    <row r="4" spans="1:1">
      <c r="A4" t="s">
        <v>218</v>
      </c>
    </row>
    <row r="5" spans="1:1">
      <c r="A5" t="s">
        <v>217</v>
      </c>
    </row>
    <row r="6" spans="1:1">
      <c r="A6" t="s">
        <v>208</v>
      </c>
    </row>
    <row r="7" spans="1:1">
      <c r="A7" t="s">
        <v>216</v>
      </c>
    </row>
    <row r="8" spans="1:1">
      <c r="A8" t="s">
        <v>215</v>
      </c>
    </row>
    <row r="9" spans="1:1">
      <c r="A9" t="s">
        <v>214</v>
      </c>
    </row>
    <row r="10" spans="1:1">
      <c r="A10" t="s">
        <v>213</v>
      </c>
    </row>
    <row r="11" spans="1:1">
      <c r="A11" t="s">
        <v>212</v>
      </c>
    </row>
    <row r="12" spans="1:1">
      <c r="A12" t="s">
        <v>211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2</vt:i4>
      </vt:variant>
    </vt:vector>
  </HeadingPairs>
  <TitlesOfParts>
    <vt:vector size="31" baseType="lpstr">
      <vt:lpstr>67 -COUNTA &amp; COUNT BLANK </vt:lpstr>
      <vt:lpstr>68 -COUNTIF</vt:lpstr>
      <vt:lpstr>69 - COUNTIFS</vt:lpstr>
      <vt:lpstr>70 - SUMIF</vt:lpstr>
      <vt:lpstr>70 - SUMIFS</vt:lpstr>
      <vt:lpstr>71 -AVERAGEIF AND AVERAGE IFS</vt:lpstr>
      <vt:lpstr>72 -FREQUENCY</vt:lpstr>
      <vt:lpstr>73 - INDEX &amp; MATCH</vt:lpstr>
      <vt:lpstr>74 -LOOKUP</vt:lpstr>
      <vt:lpstr>75 - SUMPRODUCT</vt:lpstr>
      <vt:lpstr>75 - LEFT AND FIND</vt:lpstr>
      <vt:lpstr>76 -RIGHT AND FIND</vt:lpstr>
      <vt:lpstr>77 - MID AND FIND</vt:lpstr>
      <vt:lpstr>78 -REPEAT</vt:lpstr>
      <vt:lpstr>78 - SUBSTITUTE</vt:lpstr>
      <vt:lpstr>79 -PMT,PV,FV</vt:lpstr>
      <vt:lpstr>80-IPMT,PPMT</vt:lpstr>
      <vt:lpstr>81 - VlookupMatch</vt:lpstr>
      <vt:lpstr>81- BackupData</vt:lpstr>
      <vt:lpstr>82 - Upper, Lower, Proper, Trim</vt:lpstr>
      <vt:lpstr>83 - Date in Quarter</vt:lpstr>
      <vt:lpstr>84 - Datedif and Edate</vt:lpstr>
      <vt:lpstr>85 - DATE TO TEXT AND VV</vt:lpstr>
      <vt:lpstr>86 - Switch Date</vt:lpstr>
      <vt:lpstr>87- Date and Text Join</vt:lpstr>
      <vt:lpstr>87 - DATE FORMULAS</vt:lpstr>
      <vt:lpstr>88 - Ranking Formula</vt:lpstr>
      <vt:lpstr>89 - Excel Real Job Query</vt:lpstr>
      <vt:lpstr>90 - Create Multiple Sheets</vt:lpstr>
      <vt:lpstr>Month_no</vt:lpstr>
      <vt:lpstr>sales_data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</dc:creator>
  <cp:lastModifiedBy>Shaan Computers</cp:lastModifiedBy>
  <dcterms:created xsi:type="dcterms:W3CDTF">2019-10-18T01:12:53Z</dcterms:created>
  <dcterms:modified xsi:type="dcterms:W3CDTF">2024-12-25T16:21:52Z</dcterms:modified>
</cp:coreProperties>
</file>